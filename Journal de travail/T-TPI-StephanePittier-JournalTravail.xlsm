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s-Projets\TPI\Journal de travail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JNLTRAV!$A$1:$D$20</definedName>
    <definedName name="_xlnm.Print_Area" localSheetId="1">Diagramme!$A$1:$UP$25</definedName>
    <definedName name="_xlnm.Print_Area" localSheetId="0">Donnees!$A$1:$G$54</definedName>
    <definedName name="_xlnm.Print_Area" localSheetId="7">JNLTRAV!$A$1:$D$117</definedName>
    <definedName name="_xlnm.Print_Area" localSheetId="5">Planning!$A$1:$D$84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16" i="157" l="1"/>
  <c r="B97" i="157"/>
  <c r="B78" i="157"/>
  <c r="B59" i="157"/>
  <c r="B40" i="157"/>
  <c r="B19" i="157"/>
  <c r="B21" i="156"/>
  <c r="B19" i="156"/>
  <c r="B17" i="156"/>
  <c r="B15" i="156"/>
  <c r="B13" i="156"/>
  <c r="B11" i="156"/>
  <c r="B9" i="156"/>
  <c r="B7" i="156"/>
  <c r="B5" i="156"/>
  <c r="C24" i="156"/>
  <c r="C23" i="156"/>
  <c r="B83" i="155"/>
  <c r="B69" i="155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<sst xmlns="http://schemas.openxmlformats.org/spreadsheetml/2006/main" count="277" uniqueCount="113">
  <si>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</si>
  <si>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</si>
  <si>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</si>
  <si>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</si>
  <si>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</si>
  <si>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</si>
  <si>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</si>
  <si>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</si>
  <si>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</si>
  <si>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</si>
  <si>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</si>
  <si>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</si>
  <si>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</si>
  <si>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</si>
  <si>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</si>
  <si>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</si>
  <si>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</si>
  <si>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</si>
  <si>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</si>
  <si>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</si>
  <si>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</si>
  <si>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</si>
  <si>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</si>
  <si>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</si>
  <si>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</si>
  <si>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Stéphane Pittier</t>
  </si>
  <si>
    <t>CIN4B</t>
  </si>
  <si>
    <t>ETML / Lausanne</t>
  </si>
  <si>
    <t>Analyse</t>
  </si>
  <si>
    <t>Documentation</t>
  </si>
  <si>
    <t>Tests</t>
  </si>
  <si>
    <t>Création : Interface</t>
  </si>
  <si>
    <t>Création : Méthode conversion</t>
  </si>
  <si>
    <t>Création : Méthode calcul</t>
  </si>
  <si>
    <t>Création : Méthode Affichage</t>
  </si>
  <si>
    <t>Création : débogage</t>
  </si>
  <si>
    <t>Journal de travail</t>
  </si>
  <si>
    <t>Max. 93</t>
  </si>
  <si>
    <t>STOP</t>
  </si>
  <si>
    <t>Entretien avec le chef de projet et l'expert et début de la planification initiale</t>
  </si>
  <si>
    <t>Fin de la planification initiale</t>
  </si>
  <si>
    <t>Analyse des besoins du programme</t>
  </si>
  <si>
    <t>Implémentation de l'analyse dans la documentation</t>
  </si>
  <si>
    <t>Remplissage du journal de travail</t>
  </si>
  <si>
    <t>Création de l'interface utilisateur en Windows form c#</t>
  </si>
  <si>
    <t>Création de la méthode de conversion pour les 6 formats de données</t>
  </si>
  <si>
    <t>petits test et correction des bugs présent à ce moment</t>
  </si>
  <si>
    <t>Création de la méthode pour effectuer les opérations (+, - et x) sur des chiffres de même format</t>
  </si>
  <si>
    <t>Intégration de la création de la méthode dans la documentation</t>
  </si>
  <si>
    <t>Création de la méthode pour afficher une version détaillée du calcul réalisé dans la méthode précédante</t>
  </si>
  <si>
    <t>Intégration de la méthode de l'affichage dans la documentation</t>
  </si>
  <si>
    <t>vérification du fonctionnement du logiciel</t>
  </si>
  <si>
    <t>Suite de la documentation sur la partie pratique du projet</t>
  </si>
  <si>
    <t>Pont de L'ascension 25 et 26 mai 2017</t>
  </si>
  <si>
    <t>Correction des problèmes découvert pendant les tests</t>
  </si>
  <si>
    <t>tests finaux du programme</t>
  </si>
  <si>
    <t>Examen ECG du 31 mai 2017</t>
  </si>
  <si>
    <t>Documentation sur la phase de test et finition de la documentation</t>
  </si>
  <si>
    <t>Finalisation de la documentation</t>
  </si>
  <si>
    <t>Pentecôte 5.06.2017</t>
  </si>
  <si>
    <t>S 1</t>
  </si>
  <si>
    <t>S 2</t>
  </si>
  <si>
    <t>S 3</t>
  </si>
  <si>
    <t>S 4</t>
  </si>
  <si>
    <t>S 5</t>
  </si>
  <si>
    <t>S 6</t>
  </si>
  <si>
    <t>Mercredi : Rendez-vous avec monsieur Gruaz pour des explications supplémentaire et fin de la planification initiale</t>
  </si>
  <si>
    <t>Mercredi : Réfléxion sur la façon de créer le programme. Immagination de l'interface et des diverses options du programme</t>
  </si>
  <si>
    <t>Mercredi : Création de la maquette de l'application sous Visio</t>
  </si>
  <si>
    <t xml:space="preserve">Mercredi : mise à jour de la documentations avec les informations de bases du TPI </t>
  </si>
  <si>
    <t>Mercredi : Analyse de la construction du programme. Quel seront les methode ou fonction à créer. Mise en service du Git et envoi du mail aux experts</t>
  </si>
  <si>
    <t>Vendredi : Finition et amélioration des structogrammes</t>
  </si>
  <si>
    <t>Vendredi : Implémentation de l'analyse dans la Documentation</t>
  </si>
  <si>
    <t>Intégrations de l'analyse dans le rapport</t>
  </si>
  <si>
    <t>Intégration de de la création de l'interface et de la partie conversion dans le rapport</t>
  </si>
  <si>
    <t>Jeudi : Mise à jour de la partie analyse de la documentation avec les nouveaux elément de l'application</t>
  </si>
  <si>
    <t>Raport chapitres 1 et 2</t>
  </si>
  <si>
    <t>Lien du git : https://github.com/StephanePittier/TPI</t>
  </si>
  <si>
    <t xml:space="preserve">création des structogrammes avec l'application : Structorizer                                    </t>
  </si>
  <si>
    <t>Rapport chapitre 3.1 et 3.2</t>
  </si>
  <si>
    <t>Début de la phase de test du programme selon la grillie de tests</t>
  </si>
  <si>
    <t>durant la phase de test, corriger les eventuelles erreurs détéctée</t>
  </si>
  <si>
    <t xml:space="preserve">Vendredi : 
&gt; Implémentation des structogrammes dans la documentation </t>
  </si>
  <si>
    <t>Vendredi : 
&gt; création de la planification détaillée</t>
  </si>
  <si>
    <t>structogrammes : Rapport chapitre 3.2.2</t>
  </si>
  <si>
    <t>Planification détaillée : https://github.com/StephanePittier/TPI/tree/master/Journal%20de%20travail</t>
  </si>
  <si>
    <t>Lundi : 
Lecture du cahier des charges et rendez-vous avec l'expert</t>
  </si>
  <si>
    <t>Lundi : 
Début de la planification initial</t>
  </si>
  <si>
    <t>Lundi : 
&gt; Mise à jour du journal de travail pour y mettre les liens manquants à la semaine 1</t>
  </si>
  <si>
    <t>Mardi :
&gt; Ajouts des structogrammes manquants au rapport</t>
  </si>
  <si>
    <t xml:space="preserve">
</t>
  </si>
  <si>
    <t xml:space="preserve">Mardi : Convenu avec GGZ 
&gt; La maquette est une structure graphique. A modifier ! 
&gt; Utiliser des liste déroulante à la place des checkbox
&gt; Mettre des liens fonctionnel dans le  journal de travail
&gt; Faire une analyse concurrentielle d'un autre convertisseur pour montrer la plus value de mon projet
</t>
  </si>
  <si>
    <t>Mardi :
&gt; Réalisation de l'analyse concurrentielle sur la base de 2 sites ( les liens des sites ce trouvent dans la Webographie du rapport)</t>
  </si>
  <si>
    <t>Rapport chapitre 3.2.1</t>
  </si>
  <si>
    <t>Jeudi : 
&gt; Deconstruction du programme en 3 methode principale
&gt; Revision des cours ELEOC sur les format bianire, décimal, hexadécimal et octal</t>
  </si>
  <si>
    <t>Jeudi : 
&gt; Debut de la création des structogrammes</t>
  </si>
  <si>
    <t>documents ELEOC</t>
  </si>
  <si>
    <t>Jeudi : 
&gt; Apprentissage du code BCD et GRAY
&gt; Recherche sur la meilleur fonction pour convertir les données
&gt; Création sur le papier d'un algorithme pour le code BCD
&gt; Création du structogrammes du BCD et de l'affichage</t>
  </si>
  <si>
    <t>Mardi : Mise à jour des liens de la semaine 1 et 2</t>
  </si>
  <si>
    <t>Mardi : Création de la maquette du site avec visual studio</t>
  </si>
  <si>
    <t>Mardi : Intégration de la mquette dans le rapport</t>
  </si>
  <si>
    <t>Lundi : Convenu avec GGZ 
&gt; Le journal de travail ne correspont pas aux attentes
&gt; Ne pas oublier les liens
&gt; Bien décrire mais pas trop de détails inutile</t>
  </si>
  <si>
    <t>planification initial</t>
  </si>
  <si>
    <t>Maquette</t>
  </si>
  <si>
    <t xml:space="preserve">alghoritme pour convertir le binaire en code gray </t>
  </si>
  <si>
    <t xml:space="preserve">inspiration du document pour les algorithmes et structogrammes </t>
  </si>
  <si>
    <t xml:space="preserve">journal de travail </t>
  </si>
  <si>
    <t>Lundi :  Mise à jour de la partie analye et envoi du mail de la planification détaillée aux experts</t>
  </si>
  <si>
    <t>Mardi : Modification de la maquette pour y mettre des valeurs réalistes en exemples</t>
  </si>
  <si>
    <t>Rapport chapitre 3.2.3</t>
  </si>
  <si>
    <t>Mardi : Création de l'interface utilisateur selon maquette et nommage selon normes ETML</t>
  </si>
  <si>
    <t>Programme Form 1 et 2</t>
  </si>
  <si>
    <t>Maquette sur le 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</si>
</sst>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0" fillId="0" borderId="32" xfId="0" applyFont="1" applyFill="1" applyBorder="1" applyAlignment="1" applyProtection="1">
      <alignment horizontal="left" vertical="top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tephanePittier/TPI/tree/master/Documentation/Maquette" TargetMode="External"/><Relationship Id="rId13" Type="http://schemas.openxmlformats.org/officeDocument/2006/relationships/hyperlink" Target="https://github.com/StephanePittier/TPI/tree/master/Journal%20de%20travail" TargetMode="External"/><Relationship Id="rId18" Type="http://schemas.openxmlformats.org/officeDocument/2006/relationships/vmlDrawing" Target="../drawings/vmlDrawing5.vml"/><Relationship Id="rId3" Type="http://schemas.openxmlformats.org/officeDocument/2006/relationships/hyperlink" Target="..\Documentation\R-RapportTpi.docx" TargetMode="External"/><Relationship Id="rId7" Type="http://schemas.openxmlformats.org/officeDocument/2006/relationships/hyperlink" Target="https://github.com/StephanePittier/TPI/tree/master/Documentation/Maquette" TargetMode="External"/><Relationship Id="rId12" Type="http://schemas.openxmlformats.org/officeDocument/2006/relationships/hyperlink" Target="https://github.com/StephanePittier/TPI/tree/master/Documentation" TargetMode="External"/><Relationship Id="rId17" Type="http://schemas.openxmlformats.org/officeDocument/2006/relationships/drawing" Target="../drawings/drawing5.xml"/><Relationship Id="rId2" Type="http://schemas.openxmlformats.org/officeDocument/2006/relationships/hyperlink" Target="https://github.com/StephanePittier/TPI/tree/master/Journal%20de%20travail" TargetMode="External"/><Relationship Id="rId16" Type="http://schemas.openxmlformats.org/officeDocument/2006/relationships/printerSettings" Target="../printerSettings/printerSettings5.bin"/><Relationship Id="rId20" Type="http://schemas.openxmlformats.org/officeDocument/2006/relationships/image" Target="../media/image7.emf"/><Relationship Id="rId1" Type="http://schemas.openxmlformats.org/officeDocument/2006/relationships/hyperlink" Target="https://github.com/StephanePittier/TPI" TargetMode="External"/><Relationship Id="rId6" Type="http://schemas.openxmlformats.org/officeDocument/2006/relationships/hyperlink" Target="https://github.com/StephanePittier/TPI/tree/master/Documentation" TargetMode="External"/><Relationship Id="rId11" Type="http://schemas.openxmlformats.org/officeDocument/2006/relationships/hyperlink" Target="https://github.com/StephanePittier/TPI/tree/master/Documentation/ELEOC" TargetMode="External"/><Relationship Id="rId5" Type="http://schemas.openxmlformats.org/officeDocument/2006/relationships/hyperlink" Target="..\Documentation\R-RapportTpi.docx" TargetMode="External"/><Relationship Id="rId15" Type="http://schemas.openxmlformats.org/officeDocument/2006/relationships/hyperlink" Target="https://github.com/StephanePittier/TPI/tree/master/Documentation/Maquette" TargetMode="External"/><Relationship Id="rId10" Type="http://schemas.openxmlformats.org/officeDocument/2006/relationships/hyperlink" Target="http://stackoverflow.com/questions/1691074/gray-code-in-net" TargetMode="External"/><Relationship Id="rId19" Type="http://schemas.openxmlformats.org/officeDocument/2006/relationships/control" Target="../activeX/activeX7.xml"/><Relationship Id="rId4" Type="http://schemas.openxmlformats.org/officeDocument/2006/relationships/hyperlink" Target="https://github.com/StephanePittier/TPI/tree/master/Journal%20de%20travail/Ancien" TargetMode="External"/><Relationship Id="rId9" Type="http://schemas.openxmlformats.org/officeDocument/2006/relationships/hyperlink" Target="https://github.com/StephanePittier/TPI/tree/master/Documentation/ELEOC" TargetMode="External"/><Relationship Id="rId14" Type="http://schemas.openxmlformats.org/officeDocument/2006/relationships/hyperlink" Target="https://github.com/StephanePittier/TPI/tree/master/Document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5" zoomScaleNormal="100" workbookViewId="0">
      <selection activeCell="C38" sqref="C38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4" t="s">
        <v>19</v>
      </c>
      <c r="C19" s="12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/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24"/>
  <sheetViews>
    <sheetView view="pageBreakPreview" topLeftCell="AJ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28" t="s">
        <v>60</v>
      </c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30"/>
      <c r="CS2" s="128" t="s">
        <v>61</v>
      </c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30"/>
      <c r="GH2" s="128" t="s">
        <v>62</v>
      </c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30"/>
      <c r="JW2" s="128" t="s">
        <v>63</v>
      </c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30"/>
      <c r="NL2" s="128" t="s">
        <v>64</v>
      </c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30"/>
      <c r="RA2" s="128" t="s">
        <v>65</v>
      </c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30"/>
    </row>
    <row r="3" spans="1:561" ht="19.5" customHeight="1" x14ac:dyDescent="0.2">
      <c r="A3" s="87"/>
      <c r="B3" s="131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0"/>
      <c r="LK3" s="108"/>
      <c r="LL3" s="109"/>
      <c r="LM3" s="110"/>
      <c r="LN3" s="108"/>
      <c r="LO3" s="109"/>
      <c r="LP3" s="110"/>
      <c r="LQ3" s="108"/>
      <c r="LR3" s="109"/>
      <c r="LS3" s="110"/>
      <c r="LT3" s="108"/>
      <c r="LU3" s="109"/>
      <c r="LV3" s="110"/>
      <c r="LW3" s="108"/>
      <c r="LX3" s="109"/>
      <c r="LY3" s="110"/>
      <c r="LZ3" s="108"/>
      <c r="MA3" s="109"/>
      <c r="MB3" s="110"/>
      <c r="MC3" s="108"/>
      <c r="MD3" s="109"/>
      <c r="ME3" s="110"/>
      <c r="MF3" s="108"/>
      <c r="MG3" s="109"/>
      <c r="MH3" s="110"/>
      <c r="MI3" s="108"/>
      <c r="MJ3" s="109"/>
      <c r="MK3" s="110"/>
      <c r="ML3" s="108"/>
      <c r="MM3" s="109"/>
      <c r="MN3" s="110"/>
      <c r="MO3" s="108"/>
      <c r="MP3" s="109"/>
      <c r="MQ3" s="110"/>
      <c r="MR3" s="108"/>
      <c r="MS3" s="109"/>
      <c r="MT3" s="110"/>
      <c r="MU3" s="108"/>
      <c r="MV3" s="109"/>
      <c r="MW3" s="110"/>
      <c r="MX3" s="108"/>
      <c r="MY3" s="109"/>
      <c r="MZ3" s="110"/>
      <c r="NA3" s="108"/>
      <c r="NB3" s="109"/>
      <c r="NC3" s="110"/>
      <c r="ND3" s="108"/>
      <c r="NE3" s="109"/>
      <c r="NF3" s="110"/>
      <c r="NG3" s="108"/>
      <c r="NH3" s="109"/>
      <c r="NI3" s="110"/>
      <c r="NJ3" s="108"/>
      <c r="NK3" s="111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91"/>
      <c r="PL3" s="89"/>
      <c r="PM3" s="90"/>
      <c r="PN3" s="91"/>
      <c r="PO3" s="89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110"/>
      <c r="QP3" s="108"/>
      <c r="QQ3" s="109"/>
      <c r="QR3" s="110"/>
      <c r="QS3" s="108"/>
      <c r="QT3" s="109"/>
      <c r="QU3" s="110"/>
      <c r="QV3" s="108"/>
      <c r="QW3" s="109"/>
      <c r="QX3" s="110"/>
      <c r="QY3" s="108"/>
      <c r="QZ3" s="111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110"/>
      <c r="RN3" s="108"/>
      <c r="RO3" s="109"/>
      <c r="RP3" s="110"/>
      <c r="RQ3" s="108"/>
      <c r="RR3" s="109"/>
      <c r="RS3" s="110"/>
      <c r="RT3" s="108"/>
      <c r="RU3" s="109"/>
      <c r="RV3" s="110"/>
      <c r="RW3" s="108"/>
      <c r="RX3" s="109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32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33" t="str">
        <f>Donnees!$C$21</f>
        <v>Analyse</v>
      </c>
      <c r="C5" s="98">
        <v>81</v>
      </c>
      <c r="D5" s="107"/>
      <c r="E5" s="108"/>
      <c r="F5" s="109"/>
      <c r="G5" s="110"/>
      <c r="H5" s="108"/>
      <c r="I5" s="109"/>
      <c r="J5" s="110"/>
      <c r="K5" s="108"/>
      <c r="L5" s="109"/>
      <c r="M5" s="110"/>
      <c r="N5" s="108"/>
      <c r="O5" s="109"/>
      <c r="P5" s="110"/>
      <c r="Q5" s="108"/>
      <c r="R5" s="109"/>
      <c r="S5" s="110"/>
      <c r="T5" s="108"/>
      <c r="U5" s="109"/>
      <c r="V5" s="110"/>
      <c r="W5" s="108"/>
      <c r="X5" s="109"/>
      <c r="Y5" s="110"/>
      <c r="Z5" s="108"/>
      <c r="AA5" s="109"/>
      <c r="AB5" s="110"/>
      <c r="AC5" s="108"/>
      <c r="AD5" s="109"/>
      <c r="AE5" s="110"/>
      <c r="AF5" s="108"/>
      <c r="AG5" s="109"/>
      <c r="AH5" s="110"/>
      <c r="AI5" s="108"/>
      <c r="AJ5" s="109"/>
      <c r="AK5" s="110"/>
      <c r="AL5" s="108"/>
      <c r="AM5" s="109"/>
      <c r="AN5" s="110"/>
      <c r="AO5" s="108"/>
      <c r="AP5" s="109"/>
      <c r="AQ5" s="110"/>
      <c r="AR5" s="108"/>
      <c r="AS5" s="109"/>
      <c r="AT5" s="110"/>
      <c r="AU5" s="108"/>
      <c r="AV5" s="109"/>
      <c r="AW5" s="110"/>
      <c r="AX5" s="108"/>
      <c r="AY5" s="109"/>
      <c r="AZ5" s="110"/>
      <c r="BA5" s="108"/>
      <c r="BB5" s="109"/>
      <c r="BC5" s="110"/>
      <c r="BD5" s="108"/>
      <c r="BE5" s="109"/>
      <c r="BF5" s="110"/>
      <c r="BG5" s="108"/>
      <c r="BH5" s="109"/>
      <c r="BI5" s="110"/>
      <c r="BJ5" s="108"/>
      <c r="BK5" s="109"/>
      <c r="BL5" s="110"/>
      <c r="BM5" s="108"/>
      <c r="BN5" s="109"/>
      <c r="BO5" s="110"/>
      <c r="BP5" s="108"/>
      <c r="BQ5" s="109"/>
      <c r="BR5" s="110"/>
      <c r="BS5" s="108"/>
      <c r="BT5" s="109"/>
      <c r="BU5" s="110"/>
      <c r="BV5" s="108"/>
      <c r="BW5" s="109"/>
      <c r="BX5" s="110"/>
      <c r="BY5" s="108"/>
      <c r="BZ5" s="109"/>
      <c r="CA5" s="110"/>
      <c r="CB5" s="108"/>
      <c r="CC5" s="109"/>
      <c r="CD5" s="110"/>
      <c r="CE5" s="108"/>
      <c r="CF5" s="109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7"/>
      <c r="C6" s="99">
        <v>72</v>
      </c>
      <c r="D6" s="117"/>
      <c r="E6" s="118"/>
      <c r="F6" s="119"/>
      <c r="G6" s="120"/>
      <c r="H6" s="118"/>
      <c r="I6" s="119"/>
      <c r="J6" s="120"/>
      <c r="K6" s="118"/>
      <c r="L6" s="119"/>
      <c r="M6" s="120"/>
      <c r="N6" s="118"/>
      <c r="O6" s="119"/>
      <c r="P6" s="120"/>
      <c r="Q6" s="118"/>
      <c r="R6" s="119"/>
      <c r="S6" s="120"/>
      <c r="T6" s="118"/>
      <c r="U6" s="119"/>
      <c r="V6" s="120"/>
      <c r="W6" s="118"/>
      <c r="X6" s="119"/>
      <c r="Y6" s="120"/>
      <c r="Z6" s="118"/>
      <c r="AA6" s="119"/>
      <c r="AB6" s="120"/>
      <c r="AC6" s="118"/>
      <c r="AD6" s="119"/>
      <c r="AE6" s="120"/>
      <c r="AF6" s="118"/>
      <c r="AG6" s="95"/>
      <c r="AH6" s="96"/>
      <c r="AI6" s="94"/>
      <c r="AJ6" s="95"/>
      <c r="AK6" s="120"/>
      <c r="AL6" s="118"/>
      <c r="AM6" s="119"/>
      <c r="AN6" s="120"/>
      <c r="AO6" s="118"/>
      <c r="AP6" s="119"/>
      <c r="AQ6" s="120"/>
      <c r="AR6" s="118"/>
      <c r="AS6" s="119"/>
      <c r="AT6" s="120"/>
      <c r="AU6" s="118"/>
      <c r="AV6" s="119"/>
      <c r="AW6" s="120"/>
      <c r="AX6" s="118"/>
      <c r="AY6" s="119"/>
      <c r="AZ6" s="96"/>
      <c r="BA6" s="94"/>
      <c r="BB6" s="95"/>
      <c r="BC6" s="120"/>
      <c r="BD6" s="118"/>
      <c r="BE6" s="119"/>
      <c r="BF6" s="120"/>
      <c r="BG6" s="118"/>
      <c r="BH6" s="119"/>
      <c r="BI6" s="120"/>
      <c r="BJ6" s="118"/>
      <c r="BK6" s="119"/>
      <c r="BL6" s="120"/>
      <c r="BM6" s="118"/>
      <c r="BN6" s="119"/>
      <c r="BO6" s="120"/>
      <c r="BP6" s="118"/>
      <c r="BQ6" s="119"/>
      <c r="BR6" s="120"/>
      <c r="BS6" s="118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117"/>
      <c r="CT6" s="118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120"/>
      <c r="DI6" s="118"/>
      <c r="DJ6" s="119"/>
      <c r="DK6" s="120"/>
      <c r="DL6" s="118"/>
      <c r="DM6" s="119"/>
      <c r="DN6" s="120"/>
      <c r="DO6" s="118"/>
      <c r="DP6" s="119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6" t="str">
        <f>Donnees!$C$22</f>
        <v>Documentation</v>
      </c>
      <c r="C7" s="98">
        <v>127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110"/>
      <c r="CH7" s="108"/>
      <c r="CI7" s="109"/>
      <c r="CJ7" s="110"/>
      <c r="CK7" s="108"/>
      <c r="CL7" s="109"/>
      <c r="CM7" s="110"/>
      <c r="CN7" s="108"/>
      <c r="CO7" s="109"/>
      <c r="CP7" s="91"/>
      <c r="CQ7" s="89"/>
      <c r="CR7" s="92"/>
      <c r="CS7" s="107"/>
      <c r="CT7" s="108"/>
      <c r="CU7" s="109"/>
      <c r="CV7" s="110"/>
      <c r="CW7" s="108"/>
      <c r="CX7" s="109"/>
      <c r="CY7" s="110"/>
      <c r="CZ7" s="108"/>
      <c r="DA7" s="109"/>
      <c r="DB7" s="110"/>
      <c r="DC7" s="108"/>
      <c r="DD7" s="109"/>
      <c r="DE7" s="110"/>
      <c r="DF7" s="108"/>
      <c r="DG7" s="109"/>
      <c r="DH7" s="110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109"/>
      <c r="FP7" s="110"/>
      <c r="FQ7" s="108"/>
      <c r="FR7" s="109"/>
      <c r="FS7" s="110"/>
      <c r="FT7" s="108"/>
      <c r="FU7" s="109"/>
      <c r="FV7" s="110"/>
      <c r="FW7" s="108"/>
      <c r="FX7" s="109"/>
      <c r="FY7" s="110"/>
      <c r="FZ7" s="108"/>
      <c r="GA7" s="109"/>
      <c r="GB7" s="110"/>
      <c r="GC7" s="108"/>
      <c r="GD7" s="109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108"/>
      <c r="HH7" s="109"/>
      <c r="HI7" s="110"/>
      <c r="HJ7" s="108"/>
      <c r="HK7" s="109"/>
      <c r="HL7" s="110"/>
      <c r="HM7" s="108"/>
      <c r="HN7" s="109"/>
      <c r="HO7" s="110"/>
      <c r="HP7" s="108"/>
      <c r="HQ7" s="109"/>
      <c r="HR7" s="110"/>
      <c r="HS7" s="108"/>
      <c r="HT7" s="109"/>
      <c r="HU7" s="110"/>
      <c r="HV7" s="108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109"/>
      <c r="IV7" s="110"/>
      <c r="IW7" s="108"/>
      <c r="IX7" s="109"/>
      <c r="IY7" s="110"/>
      <c r="IZ7" s="108"/>
      <c r="JA7" s="109"/>
      <c r="JB7" s="110"/>
      <c r="JC7" s="108"/>
      <c r="JD7" s="109"/>
      <c r="JE7" s="110"/>
      <c r="JF7" s="108"/>
      <c r="JG7" s="109"/>
      <c r="JH7" s="110"/>
      <c r="JI7" s="108"/>
      <c r="JJ7" s="109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110"/>
      <c r="KV7" s="108"/>
      <c r="KW7" s="109"/>
      <c r="KX7" s="110"/>
      <c r="KY7" s="108"/>
      <c r="KZ7" s="109"/>
      <c r="LA7" s="110"/>
      <c r="LB7" s="108"/>
      <c r="LC7" s="109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110"/>
      <c r="PC7" s="108"/>
      <c r="PD7" s="109"/>
      <c r="PE7" s="110"/>
      <c r="PF7" s="108"/>
      <c r="PG7" s="109"/>
      <c r="PH7" s="110"/>
      <c r="PI7" s="108"/>
      <c r="PJ7" s="109"/>
      <c r="PK7" s="110"/>
      <c r="PL7" s="108"/>
      <c r="PM7" s="109"/>
      <c r="PN7" s="110"/>
      <c r="PO7" s="108"/>
      <c r="PP7" s="109"/>
      <c r="PQ7" s="110"/>
      <c r="PR7" s="108"/>
      <c r="PS7" s="109"/>
      <c r="PT7" s="110"/>
      <c r="PU7" s="108"/>
      <c r="PV7" s="109"/>
      <c r="PW7" s="110"/>
      <c r="PX7" s="108"/>
      <c r="PY7" s="109"/>
      <c r="PZ7" s="110"/>
      <c r="QA7" s="108"/>
      <c r="QB7" s="109"/>
      <c r="QC7" s="110"/>
      <c r="QD7" s="108"/>
      <c r="QE7" s="109"/>
      <c r="QF7" s="110"/>
      <c r="QG7" s="108"/>
      <c r="QH7" s="109"/>
      <c r="QI7" s="110"/>
      <c r="QJ7" s="108"/>
      <c r="QK7" s="109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107"/>
      <c r="RB7" s="108"/>
      <c r="RC7" s="109"/>
      <c r="RD7" s="110"/>
      <c r="RE7" s="108"/>
      <c r="RF7" s="109"/>
      <c r="RG7" s="110"/>
      <c r="RH7" s="108"/>
      <c r="RI7" s="109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7"/>
      <c r="C8" s="99">
        <v>48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119"/>
      <c r="AH8" s="120"/>
      <c r="AI8" s="118"/>
      <c r="AJ8" s="119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120"/>
      <c r="BA8" s="118"/>
      <c r="BB8" s="119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119"/>
      <c r="BU8" s="120"/>
      <c r="BV8" s="118"/>
      <c r="BW8" s="119"/>
      <c r="BX8" s="120"/>
      <c r="BY8" s="118"/>
      <c r="BZ8" s="119"/>
      <c r="CA8" s="120"/>
      <c r="CB8" s="118"/>
      <c r="CC8" s="119"/>
      <c r="CD8" s="120"/>
      <c r="CE8" s="118"/>
      <c r="CF8" s="119"/>
      <c r="CG8" s="120"/>
      <c r="CH8" s="118"/>
      <c r="CI8" s="119"/>
      <c r="CJ8" s="120"/>
      <c r="CK8" s="118"/>
      <c r="CL8" s="119"/>
      <c r="CM8" s="120"/>
      <c r="CN8" s="118"/>
      <c r="CO8" s="119"/>
      <c r="CP8" s="120"/>
      <c r="CQ8" s="118"/>
      <c r="CR8" s="121"/>
      <c r="CS8" s="93"/>
      <c r="CT8" s="94"/>
      <c r="CU8" s="95"/>
      <c r="CV8" s="96"/>
      <c r="CW8" s="118"/>
      <c r="CX8" s="119"/>
      <c r="CY8" s="120"/>
      <c r="CZ8" s="118"/>
      <c r="DA8" s="119"/>
      <c r="DB8" s="120"/>
      <c r="DC8" s="118"/>
      <c r="DD8" s="119"/>
      <c r="DE8" s="120"/>
      <c r="DF8" s="118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120"/>
      <c r="DR8" s="118"/>
      <c r="DS8" s="119"/>
      <c r="DT8" s="120"/>
      <c r="DU8" s="118"/>
      <c r="DV8" s="119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6" t="str">
        <f>Donnees!$C$23</f>
        <v>Tests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91"/>
      <c r="DU9" s="89"/>
      <c r="DV9" s="90"/>
      <c r="DW9" s="91"/>
      <c r="DX9" s="89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110"/>
      <c r="LE9" s="108"/>
      <c r="LF9" s="109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110"/>
      <c r="OK9" s="108"/>
      <c r="OL9" s="109"/>
      <c r="OM9" s="110"/>
      <c r="ON9" s="108"/>
      <c r="OO9" s="109"/>
      <c r="OP9" s="110"/>
      <c r="OQ9" s="108"/>
      <c r="OR9" s="109"/>
      <c r="OS9" s="110"/>
      <c r="OT9" s="108"/>
      <c r="OU9" s="109"/>
      <c r="OV9" s="110"/>
      <c r="OW9" s="108"/>
      <c r="OX9" s="109"/>
      <c r="OY9" s="110"/>
      <c r="OZ9" s="108"/>
      <c r="PA9" s="109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7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6" t="str">
        <f>Donnees!$C$24</f>
        <v>Création : Interface</v>
      </c>
      <c r="C11" s="98">
        <v>27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91"/>
      <c r="DI11" s="108"/>
      <c r="DJ11" s="109"/>
      <c r="DK11" s="110"/>
      <c r="DL11" s="108"/>
      <c r="DM11" s="109"/>
      <c r="DN11" s="110"/>
      <c r="DO11" s="108"/>
      <c r="DP11" s="109"/>
      <c r="DQ11" s="110"/>
      <c r="DR11" s="108"/>
      <c r="DS11" s="109"/>
      <c r="DT11" s="110"/>
      <c r="DU11" s="108"/>
      <c r="DV11" s="109"/>
      <c r="DW11" s="110"/>
      <c r="DX11" s="108"/>
      <c r="DY11" s="109"/>
      <c r="DZ11" s="110"/>
      <c r="EA11" s="108"/>
      <c r="EB11" s="109"/>
      <c r="EC11" s="110"/>
      <c r="ED11" s="108"/>
      <c r="EE11" s="109"/>
      <c r="EF11" s="110"/>
      <c r="EG11" s="108"/>
      <c r="EH11" s="109"/>
      <c r="EI11" s="110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8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90"/>
      <c r="OP11" s="91"/>
      <c r="OQ11" s="89"/>
      <c r="OR11" s="90"/>
      <c r="OS11" s="91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7"/>
      <c r="C12" s="99">
        <v>9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120"/>
      <c r="DX12" s="118"/>
      <c r="DY12" s="119"/>
      <c r="DZ12" s="120"/>
      <c r="EA12" s="118"/>
      <c r="EB12" s="119"/>
      <c r="EC12" s="120"/>
      <c r="ED12" s="118"/>
      <c r="EE12" s="119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6" t="str">
        <f>Donnees!$C$25</f>
        <v>Création : Méthode conversion</v>
      </c>
      <c r="C13" s="98">
        <v>25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108"/>
      <c r="EK13" s="109"/>
      <c r="EL13" s="110"/>
      <c r="EM13" s="108"/>
      <c r="EN13" s="109"/>
      <c r="EO13" s="110"/>
      <c r="EP13" s="108"/>
      <c r="EQ13" s="109"/>
      <c r="ER13" s="110"/>
      <c r="ES13" s="108"/>
      <c r="ET13" s="109"/>
      <c r="EU13" s="110"/>
      <c r="EV13" s="108"/>
      <c r="EW13" s="109"/>
      <c r="EX13" s="110"/>
      <c r="EY13" s="108"/>
      <c r="EZ13" s="109"/>
      <c r="FA13" s="110"/>
      <c r="FB13" s="108"/>
      <c r="FC13" s="109"/>
      <c r="FD13" s="110"/>
      <c r="FE13" s="108"/>
      <c r="FF13" s="109"/>
      <c r="FG13" s="110"/>
      <c r="FH13" s="108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7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6" t="str">
        <f>Donnees!$C$26</f>
        <v>Création : Méthode calcul</v>
      </c>
      <c r="C15" s="98">
        <v>25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91"/>
      <c r="EG15" s="89"/>
      <c r="EH15" s="90"/>
      <c r="EI15" s="91"/>
      <c r="EJ15" s="89"/>
      <c r="EK15" s="90"/>
      <c r="EL15" s="91"/>
      <c r="EM15" s="89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107"/>
      <c r="GI15" s="108"/>
      <c r="GJ15" s="109"/>
      <c r="GK15" s="110"/>
      <c r="GL15" s="108"/>
      <c r="GM15" s="109"/>
      <c r="GN15" s="110"/>
      <c r="GO15" s="108"/>
      <c r="GP15" s="109"/>
      <c r="GQ15" s="110"/>
      <c r="GR15" s="108"/>
      <c r="GS15" s="109"/>
      <c r="GT15" s="110"/>
      <c r="GU15" s="108"/>
      <c r="GV15" s="109"/>
      <c r="GW15" s="110"/>
      <c r="GX15" s="108"/>
      <c r="GY15" s="109"/>
      <c r="GZ15" s="110"/>
      <c r="HA15" s="108"/>
      <c r="HB15" s="109"/>
      <c r="HC15" s="110"/>
      <c r="HD15" s="108"/>
      <c r="HE15" s="109"/>
      <c r="HF15" s="110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7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6" t="str">
        <f>Donnees!$C$27</f>
        <v>Création : Méthode Affichage</v>
      </c>
      <c r="C17" s="98">
        <v>24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109"/>
      <c r="HX17" s="110"/>
      <c r="HY17" s="108"/>
      <c r="HZ17" s="109"/>
      <c r="IA17" s="110"/>
      <c r="IB17" s="108"/>
      <c r="IC17" s="109"/>
      <c r="ID17" s="110"/>
      <c r="IE17" s="108"/>
      <c r="IF17" s="109"/>
      <c r="IG17" s="110"/>
      <c r="IH17" s="108"/>
      <c r="II17" s="109"/>
      <c r="IJ17" s="110"/>
      <c r="IK17" s="108"/>
      <c r="IL17" s="109"/>
      <c r="IM17" s="110"/>
      <c r="IN17" s="108"/>
      <c r="IO17" s="109"/>
      <c r="IP17" s="110"/>
      <c r="IQ17" s="108"/>
      <c r="IR17" s="109"/>
      <c r="IS17" s="110"/>
      <c r="IT17" s="108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7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6" t="str">
        <f>Donnees!$C$28</f>
        <v>Création : débogage</v>
      </c>
      <c r="C19" s="98">
        <v>63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109"/>
      <c r="FJ19" s="110"/>
      <c r="FK19" s="108"/>
      <c r="FL19" s="109"/>
      <c r="FM19" s="110"/>
      <c r="FN19" s="108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110"/>
      <c r="JL19" s="108"/>
      <c r="JM19" s="109"/>
      <c r="JN19" s="110"/>
      <c r="JO19" s="108"/>
      <c r="JP19" s="109"/>
      <c r="JQ19" s="110"/>
      <c r="JR19" s="108"/>
      <c r="JS19" s="109"/>
      <c r="JT19" s="91"/>
      <c r="JU19" s="89"/>
      <c r="JV19" s="92"/>
      <c r="JW19" s="107"/>
      <c r="JX19" s="108"/>
      <c r="JY19" s="109"/>
      <c r="JZ19" s="110"/>
      <c r="KA19" s="108"/>
      <c r="KB19" s="109"/>
      <c r="KC19" s="110"/>
      <c r="KD19" s="108"/>
      <c r="KE19" s="109"/>
      <c r="KF19" s="110"/>
      <c r="KG19" s="108"/>
      <c r="KH19" s="109"/>
      <c r="KI19" s="110"/>
      <c r="KJ19" s="108"/>
      <c r="KK19" s="109"/>
      <c r="KL19" s="110"/>
      <c r="KM19" s="108"/>
      <c r="KN19" s="109"/>
      <c r="KO19" s="110"/>
      <c r="KP19" s="108"/>
      <c r="KQ19" s="109"/>
      <c r="KR19" s="110"/>
      <c r="KS19" s="108"/>
      <c r="KT19" s="109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107"/>
      <c r="NM19" s="108"/>
      <c r="NN19" s="109"/>
      <c r="NO19" s="110"/>
      <c r="NP19" s="108"/>
      <c r="NQ19" s="109"/>
      <c r="NR19" s="110"/>
      <c r="NS19" s="108"/>
      <c r="NT19" s="109"/>
      <c r="NU19" s="110"/>
      <c r="NV19" s="108"/>
      <c r="NW19" s="109"/>
      <c r="NX19" s="110"/>
      <c r="NY19" s="108"/>
      <c r="NZ19" s="109"/>
      <c r="OA19" s="110"/>
      <c r="OB19" s="108"/>
      <c r="OC19" s="109"/>
      <c r="OD19" s="110"/>
      <c r="OE19" s="108"/>
      <c r="OF19" s="109"/>
      <c r="OG19" s="110"/>
      <c r="OH19" s="108"/>
      <c r="OI19" s="109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7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6" t="str">
        <f>Donnees!$C$29</f>
        <v>Journal de travail</v>
      </c>
      <c r="C21" s="98">
        <v>18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110"/>
      <c r="CQ21" s="108"/>
      <c r="CR21" s="111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110"/>
      <c r="GF21" s="108"/>
      <c r="GG21" s="111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110"/>
      <c r="JU21" s="108"/>
      <c r="JV21" s="111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110"/>
      <c r="LH21" s="108"/>
      <c r="LI21" s="109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110"/>
      <c r="QM21" s="108"/>
      <c r="QN21" s="109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110"/>
      <c r="RK21" s="108"/>
      <c r="RL21" s="109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x14ac:dyDescent="0.2">
      <c r="B22" s="127"/>
      <c r="C22" s="99">
        <v>3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119"/>
      <c r="CV22" s="120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119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47" t="s">
        <v>16</v>
      </c>
      <c r="C23" s="49">
        <f>SUM($C$3,$C$5,$C$7,$C$9,$C$11,$C$13,$C$15,$C$17,$C$19,$C$21)</f>
        <v>489</v>
      </c>
      <c r="D23" s="101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3"/>
      <c r="CS23" s="101"/>
      <c r="CT23" s="102"/>
      <c r="CU23" s="102"/>
      <c r="CV23" s="102"/>
      <c r="CW23" s="102"/>
      <c r="CX23" s="102"/>
      <c r="CY23" s="102"/>
      <c r="CZ23" s="102"/>
      <c r="DA23" s="102"/>
      <c r="DB23" s="102"/>
      <c r="DC23" s="102"/>
      <c r="DD23" s="102"/>
      <c r="DE23" s="102"/>
      <c r="DF23" s="102"/>
      <c r="DG23" s="102"/>
      <c r="DH23" s="102"/>
      <c r="DI23" s="102"/>
      <c r="DJ23" s="102"/>
      <c r="DK23" s="102"/>
      <c r="DL23" s="102"/>
      <c r="DM23" s="102"/>
      <c r="DN23" s="102"/>
      <c r="DO23" s="102"/>
      <c r="DP23" s="102"/>
      <c r="DQ23" s="102"/>
      <c r="DR23" s="102"/>
      <c r="DS23" s="102"/>
      <c r="DT23" s="102"/>
      <c r="DU23" s="102"/>
      <c r="DV23" s="102"/>
      <c r="DW23" s="102"/>
      <c r="DX23" s="102"/>
      <c r="DY23" s="102"/>
      <c r="DZ23" s="102"/>
      <c r="EA23" s="102"/>
      <c r="EB23" s="102"/>
      <c r="EC23" s="102"/>
      <c r="ED23" s="102"/>
      <c r="EE23" s="102"/>
      <c r="EF23" s="102"/>
      <c r="EG23" s="102"/>
      <c r="EH23" s="102"/>
      <c r="EI23" s="102"/>
      <c r="EJ23" s="102"/>
      <c r="EK23" s="102"/>
      <c r="EL23" s="102"/>
      <c r="EM23" s="102"/>
      <c r="EN23" s="102"/>
      <c r="EO23" s="102"/>
      <c r="EP23" s="102"/>
      <c r="EQ23" s="102"/>
      <c r="ER23" s="102"/>
      <c r="ES23" s="102"/>
      <c r="ET23" s="102"/>
      <c r="EU23" s="102"/>
      <c r="EV23" s="102"/>
      <c r="EW23" s="102"/>
      <c r="EX23" s="102"/>
      <c r="EY23" s="102"/>
      <c r="EZ23" s="102"/>
      <c r="FA23" s="102"/>
      <c r="FB23" s="102"/>
      <c r="FC23" s="102"/>
      <c r="FD23" s="102"/>
      <c r="FE23" s="102"/>
      <c r="FF23" s="102"/>
      <c r="FG23" s="102"/>
      <c r="FH23" s="102"/>
      <c r="FI23" s="102"/>
      <c r="FJ23" s="102"/>
      <c r="FK23" s="102"/>
      <c r="FL23" s="102"/>
      <c r="FM23" s="102"/>
      <c r="FN23" s="102"/>
      <c r="FO23" s="102"/>
      <c r="FP23" s="102"/>
      <c r="FQ23" s="102"/>
      <c r="FR23" s="102"/>
      <c r="FS23" s="102"/>
      <c r="FT23" s="102"/>
      <c r="FU23" s="102"/>
      <c r="FV23" s="102"/>
      <c r="FW23" s="102"/>
      <c r="FX23" s="102"/>
      <c r="FY23" s="102"/>
      <c r="FZ23" s="102"/>
      <c r="GA23" s="102"/>
      <c r="GB23" s="102"/>
      <c r="GC23" s="102"/>
      <c r="GD23" s="102"/>
      <c r="GE23" s="102"/>
      <c r="GF23" s="102"/>
      <c r="GG23" s="103"/>
      <c r="GH23" s="101"/>
      <c r="GI23" s="102"/>
      <c r="GJ23" s="102"/>
      <c r="GK23" s="102"/>
      <c r="GL23" s="102"/>
      <c r="GM23" s="102"/>
      <c r="GN23" s="102"/>
      <c r="GO23" s="102"/>
      <c r="GP23" s="102"/>
      <c r="GQ23" s="102"/>
      <c r="GR23" s="102"/>
      <c r="GS23" s="102"/>
      <c r="GT23" s="102"/>
      <c r="GU23" s="102"/>
      <c r="GV23" s="102"/>
      <c r="GW23" s="102"/>
      <c r="GX23" s="102"/>
      <c r="GY23" s="102"/>
      <c r="GZ23" s="102"/>
      <c r="HA23" s="102"/>
      <c r="HB23" s="102"/>
      <c r="HC23" s="102"/>
      <c r="HD23" s="102"/>
      <c r="HE23" s="102"/>
      <c r="HF23" s="102"/>
      <c r="HG23" s="102"/>
      <c r="HH23" s="102"/>
      <c r="HI23" s="102"/>
      <c r="HJ23" s="102"/>
      <c r="HK23" s="102"/>
      <c r="HL23" s="102"/>
      <c r="HM23" s="102"/>
      <c r="HN23" s="102"/>
      <c r="HO23" s="102"/>
      <c r="HP23" s="102"/>
      <c r="HQ23" s="102"/>
      <c r="HR23" s="102"/>
      <c r="HS23" s="102"/>
      <c r="HT23" s="102"/>
      <c r="HU23" s="102"/>
      <c r="HV23" s="102"/>
      <c r="HW23" s="102"/>
      <c r="HX23" s="102"/>
      <c r="HY23" s="102"/>
      <c r="HZ23" s="102"/>
      <c r="IA23" s="102"/>
      <c r="IB23" s="102"/>
      <c r="IC23" s="102"/>
      <c r="ID23" s="102"/>
      <c r="IE23" s="102"/>
      <c r="IF23" s="102"/>
      <c r="IG23" s="102"/>
      <c r="IH23" s="102"/>
      <c r="II23" s="102"/>
      <c r="IJ23" s="102"/>
      <c r="IK23" s="102"/>
      <c r="IL23" s="102"/>
      <c r="IM23" s="102"/>
      <c r="IN23" s="102"/>
      <c r="IO23" s="102"/>
      <c r="IP23" s="102"/>
      <c r="IQ23" s="102"/>
      <c r="IR23" s="102"/>
      <c r="IS23" s="102"/>
      <c r="IT23" s="102"/>
      <c r="IU23" s="102"/>
      <c r="IV23" s="102"/>
      <c r="IW23" s="102"/>
      <c r="IX23" s="102"/>
      <c r="IY23" s="102"/>
      <c r="IZ23" s="102"/>
      <c r="JA23" s="102"/>
      <c r="JB23" s="102"/>
      <c r="JC23" s="102"/>
      <c r="JD23" s="102"/>
      <c r="JE23" s="102"/>
      <c r="JF23" s="102"/>
      <c r="JG23" s="102"/>
      <c r="JH23" s="102"/>
      <c r="JI23" s="102"/>
      <c r="JJ23" s="102"/>
      <c r="JK23" s="102"/>
      <c r="JL23" s="102"/>
      <c r="JM23" s="102"/>
      <c r="JN23" s="102"/>
      <c r="JO23" s="102"/>
      <c r="JP23" s="102"/>
      <c r="JQ23" s="102"/>
      <c r="JR23" s="102"/>
      <c r="JS23" s="102"/>
      <c r="JT23" s="102"/>
      <c r="JU23" s="102"/>
      <c r="JV23" s="103"/>
      <c r="JW23" s="101"/>
      <c r="JX23" s="102"/>
      <c r="JY23" s="102"/>
      <c r="JZ23" s="102"/>
      <c r="KA23" s="102"/>
      <c r="KB23" s="102"/>
      <c r="KC23" s="102"/>
      <c r="KD23" s="102"/>
      <c r="KE23" s="102"/>
      <c r="KF23" s="102"/>
      <c r="KG23" s="102"/>
      <c r="KH23" s="102"/>
      <c r="KI23" s="102"/>
      <c r="KJ23" s="102"/>
      <c r="KK23" s="102"/>
      <c r="KL23" s="102"/>
      <c r="KM23" s="102"/>
      <c r="KN23" s="102"/>
      <c r="KO23" s="102"/>
      <c r="KP23" s="102"/>
      <c r="KQ23" s="102"/>
      <c r="KR23" s="102"/>
      <c r="KS23" s="102"/>
      <c r="KT23" s="102"/>
      <c r="KU23" s="102"/>
      <c r="KV23" s="102"/>
      <c r="KW23" s="102"/>
      <c r="KX23" s="102"/>
      <c r="KY23" s="102"/>
      <c r="KZ23" s="102"/>
      <c r="LA23" s="102"/>
      <c r="LB23" s="102"/>
      <c r="LC23" s="102"/>
      <c r="LD23" s="102"/>
      <c r="LE23" s="102"/>
      <c r="LF23" s="102"/>
      <c r="LG23" s="102"/>
      <c r="LH23" s="102"/>
      <c r="LI23" s="102"/>
      <c r="LJ23" s="102"/>
      <c r="LK23" s="102"/>
      <c r="LL23" s="102"/>
      <c r="LM23" s="102"/>
      <c r="LN23" s="102"/>
      <c r="LO23" s="102"/>
      <c r="LP23" s="102"/>
      <c r="LQ23" s="102"/>
      <c r="LR23" s="102"/>
      <c r="LS23" s="102"/>
      <c r="LT23" s="102"/>
      <c r="LU23" s="102"/>
      <c r="LV23" s="102"/>
      <c r="LW23" s="102"/>
      <c r="LX23" s="102"/>
      <c r="LY23" s="102"/>
      <c r="LZ23" s="102"/>
      <c r="MA23" s="102"/>
      <c r="MB23" s="102"/>
      <c r="MC23" s="102"/>
      <c r="MD23" s="102"/>
      <c r="ME23" s="102"/>
      <c r="MF23" s="102"/>
      <c r="MG23" s="102"/>
      <c r="MH23" s="102"/>
      <c r="MI23" s="102"/>
      <c r="MJ23" s="102"/>
      <c r="MK23" s="102"/>
      <c r="ML23" s="102"/>
      <c r="MM23" s="102"/>
      <c r="MN23" s="102"/>
      <c r="MO23" s="102"/>
      <c r="MP23" s="102"/>
      <c r="MQ23" s="102"/>
      <c r="MR23" s="102"/>
      <c r="MS23" s="102"/>
      <c r="MT23" s="102"/>
      <c r="MU23" s="102"/>
      <c r="MV23" s="102"/>
      <c r="MW23" s="102"/>
      <c r="MX23" s="102"/>
      <c r="MY23" s="102"/>
      <c r="MZ23" s="102"/>
      <c r="NA23" s="102"/>
      <c r="NB23" s="102"/>
      <c r="NC23" s="102"/>
      <c r="ND23" s="102"/>
      <c r="NE23" s="102"/>
      <c r="NF23" s="102"/>
      <c r="NG23" s="102"/>
      <c r="NH23" s="102"/>
      <c r="NI23" s="102"/>
      <c r="NJ23" s="102"/>
      <c r="NK23" s="103"/>
      <c r="NL23" s="101"/>
      <c r="NM23" s="102"/>
      <c r="NN23" s="102"/>
      <c r="NO23" s="102"/>
      <c r="NP23" s="102"/>
      <c r="NQ23" s="102"/>
      <c r="NR23" s="102"/>
      <c r="NS23" s="102"/>
      <c r="NT23" s="102"/>
      <c r="NU23" s="102"/>
      <c r="NV23" s="102"/>
      <c r="NW23" s="102"/>
      <c r="NX23" s="102"/>
      <c r="NY23" s="102"/>
      <c r="NZ23" s="102"/>
      <c r="OA23" s="102"/>
      <c r="OB23" s="102"/>
      <c r="OC23" s="102"/>
      <c r="OD23" s="102"/>
      <c r="OE23" s="102"/>
      <c r="OF23" s="102"/>
      <c r="OG23" s="102"/>
      <c r="OH23" s="102"/>
      <c r="OI23" s="102"/>
      <c r="OJ23" s="102"/>
      <c r="OK23" s="102"/>
      <c r="OL23" s="102"/>
      <c r="OM23" s="102"/>
      <c r="ON23" s="102"/>
      <c r="OO23" s="102"/>
      <c r="OP23" s="102"/>
      <c r="OQ23" s="102"/>
      <c r="OR23" s="102"/>
      <c r="OS23" s="102"/>
      <c r="OT23" s="102"/>
      <c r="OU23" s="102"/>
      <c r="OV23" s="102"/>
      <c r="OW23" s="102"/>
      <c r="OX23" s="102"/>
      <c r="OY23" s="102"/>
      <c r="OZ23" s="102"/>
      <c r="PA23" s="102"/>
      <c r="PB23" s="102"/>
      <c r="PC23" s="102"/>
      <c r="PD23" s="102"/>
      <c r="PE23" s="102"/>
      <c r="PF23" s="102"/>
      <c r="PG23" s="102"/>
      <c r="PH23" s="102"/>
      <c r="PI23" s="102"/>
      <c r="PJ23" s="102"/>
      <c r="PK23" s="102"/>
      <c r="PL23" s="102"/>
      <c r="PM23" s="102"/>
      <c r="PN23" s="102"/>
      <c r="PO23" s="102"/>
      <c r="PP23" s="102"/>
      <c r="PQ23" s="102"/>
      <c r="PR23" s="102"/>
      <c r="PS23" s="102"/>
      <c r="PT23" s="102"/>
      <c r="PU23" s="102"/>
      <c r="PV23" s="102"/>
      <c r="PW23" s="102"/>
      <c r="PX23" s="102"/>
      <c r="PY23" s="102"/>
      <c r="PZ23" s="102"/>
      <c r="QA23" s="102"/>
      <c r="QB23" s="102"/>
      <c r="QC23" s="102"/>
      <c r="QD23" s="102"/>
      <c r="QE23" s="102"/>
      <c r="QF23" s="102"/>
      <c r="QG23" s="102"/>
      <c r="QH23" s="102"/>
      <c r="QI23" s="102"/>
      <c r="QJ23" s="102"/>
      <c r="QK23" s="102"/>
      <c r="QL23" s="102"/>
      <c r="QM23" s="102"/>
      <c r="QN23" s="102"/>
      <c r="QO23" s="102"/>
      <c r="QP23" s="102"/>
      <c r="QQ23" s="102"/>
      <c r="QR23" s="102"/>
      <c r="QS23" s="102"/>
      <c r="QT23" s="102"/>
      <c r="QU23" s="102"/>
      <c r="QV23" s="102"/>
      <c r="QW23" s="102"/>
      <c r="QX23" s="102"/>
      <c r="QY23" s="102"/>
      <c r="QZ23" s="103"/>
      <c r="RA23" s="101"/>
      <c r="RB23" s="102"/>
      <c r="RC23" s="102"/>
      <c r="RD23" s="102"/>
      <c r="RE23" s="102"/>
      <c r="RF23" s="102"/>
      <c r="RG23" s="102"/>
      <c r="RH23" s="102"/>
      <c r="RI23" s="102"/>
      <c r="RJ23" s="102"/>
      <c r="RK23" s="102"/>
      <c r="RL23" s="102"/>
      <c r="RM23" s="102"/>
      <c r="RN23" s="102"/>
      <c r="RO23" s="102"/>
      <c r="RP23" s="102"/>
      <c r="RQ23" s="102"/>
      <c r="RR23" s="102"/>
      <c r="RS23" s="102"/>
      <c r="RT23" s="102"/>
      <c r="RU23" s="102"/>
      <c r="RV23" s="102"/>
      <c r="RW23" s="102"/>
      <c r="RX23" s="102"/>
      <c r="RY23" s="102"/>
      <c r="RZ23" s="102"/>
      <c r="SA23" s="102"/>
      <c r="SB23" s="102"/>
      <c r="SC23" s="102"/>
      <c r="SD23" s="102"/>
      <c r="SE23" s="102"/>
      <c r="SF23" s="102"/>
      <c r="SG23" s="102"/>
      <c r="SH23" s="102"/>
      <c r="SI23" s="102"/>
      <c r="SJ23" s="102"/>
      <c r="SK23" s="102"/>
      <c r="SL23" s="102"/>
      <c r="SM23" s="102"/>
      <c r="SN23" s="102"/>
      <c r="SO23" s="102"/>
      <c r="SP23" s="102"/>
      <c r="SQ23" s="102"/>
      <c r="SR23" s="102"/>
      <c r="SS23" s="102"/>
      <c r="ST23" s="102"/>
      <c r="SU23" s="102"/>
      <c r="SV23" s="102"/>
      <c r="SW23" s="102"/>
      <c r="SX23" s="102"/>
      <c r="SY23" s="102"/>
      <c r="SZ23" s="102"/>
      <c r="TA23" s="102"/>
      <c r="TB23" s="102"/>
      <c r="TC23" s="102"/>
      <c r="TD23" s="102"/>
      <c r="TE23" s="102"/>
      <c r="TF23" s="102"/>
      <c r="TG23" s="102"/>
      <c r="TH23" s="102"/>
      <c r="TI23" s="102"/>
      <c r="TJ23" s="102"/>
      <c r="TK23" s="102"/>
      <c r="TL23" s="102"/>
      <c r="TM23" s="102"/>
      <c r="TN23" s="102"/>
      <c r="TO23" s="102"/>
      <c r="TP23" s="102"/>
      <c r="TQ23" s="102"/>
      <c r="TR23" s="102"/>
      <c r="TS23" s="102"/>
      <c r="TT23" s="102"/>
      <c r="TU23" s="102"/>
      <c r="TV23" s="102"/>
      <c r="TW23" s="102"/>
      <c r="TX23" s="102"/>
      <c r="TY23" s="102"/>
      <c r="TZ23" s="102"/>
      <c r="UA23" s="102"/>
      <c r="UB23" s="102"/>
      <c r="UC23" s="102"/>
      <c r="UD23" s="102"/>
      <c r="UE23" s="102"/>
      <c r="UF23" s="102"/>
      <c r="UG23" s="102"/>
      <c r="UH23" s="102"/>
      <c r="UI23" s="102"/>
      <c r="UJ23" s="102"/>
      <c r="UK23" s="102"/>
      <c r="UL23" s="102"/>
      <c r="UM23" s="102"/>
      <c r="UN23" s="102"/>
      <c r="UO23" s="103"/>
    </row>
    <row r="24" spans="2:561" ht="19.5" customHeight="1" thickBot="1" x14ac:dyDescent="0.25">
      <c r="B24" s="48" t="s">
        <v>17</v>
      </c>
      <c r="C24" s="50">
        <f>SUM($C$4,$C$6,$C$8,$C$10,$C$12,$C$14,$C$16,$C$18,$C$20,$C$22)</f>
        <v>132</v>
      </c>
      <c r="D24" s="104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6"/>
      <c r="CS24" s="104"/>
      <c r="CT24" s="105"/>
      <c r="CU24" s="105"/>
      <c r="CV24" s="105"/>
      <c r="CW24" s="105"/>
      <c r="CX24" s="105"/>
      <c r="CY24" s="105"/>
      <c r="CZ24" s="105"/>
      <c r="DA24" s="105"/>
      <c r="DB24" s="105"/>
      <c r="DC24" s="105"/>
      <c r="DD24" s="105"/>
      <c r="DE24" s="105"/>
      <c r="DF24" s="105"/>
      <c r="DG24" s="105"/>
      <c r="DH24" s="105"/>
      <c r="DI24" s="105"/>
      <c r="DJ24" s="105"/>
      <c r="DK24" s="105"/>
      <c r="DL24" s="105"/>
      <c r="DM24" s="105"/>
      <c r="DN24" s="105"/>
      <c r="DO24" s="105"/>
      <c r="DP24" s="105"/>
      <c r="DQ24" s="105"/>
      <c r="DR24" s="105"/>
      <c r="DS24" s="105"/>
      <c r="DT24" s="105"/>
      <c r="DU24" s="105"/>
      <c r="DV24" s="105"/>
      <c r="DW24" s="105"/>
      <c r="DX24" s="105"/>
      <c r="DY24" s="105"/>
      <c r="DZ24" s="105"/>
      <c r="EA24" s="105"/>
      <c r="EB24" s="105"/>
      <c r="EC24" s="105"/>
      <c r="ED24" s="105"/>
      <c r="EE24" s="105"/>
      <c r="EF24" s="105"/>
      <c r="EG24" s="105"/>
      <c r="EH24" s="105"/>
      <c r="EI24" s="105"/>
      <c r="EJ24" s="105"/>
      <c r="EK24" s="105"/>
      <c r="EL24" s="105"/>
      <c r="EM24" s="105"/>
      <c r="EN24" s="105"/>
      <c r="EO24" s="105"/>
      <c r="EP24" s="105"/>
      <c r="EQ24" s="105"/>
      <c r="ER24" s="105"/>
      <c r="ES24" s="105"/>
      <c r="ET24" s="105"/>
      <c r="EU24" s="105"/>
      <c r="EV24" s="105"/>
      <c r="EW24" s="105"/>
      <c r="EX24" s="105"/>
      <c r="EY24" s="105"/>
      <c r="EZ24" s="105"/>
      <c r="FA24" s="105"/>
      <c r="FB24" s="105"/>
      <c r="FC24" s="105"/>
      <c r="FD24" s="105"/>
      <c r="FE24" s="105"/>
      <c r="FF24" s="105"/>
      <c r="FG24" s="105"/>
      <c r="FH24" s="105"/>
      <c r="FI24" s="105"/>
      <c r="FJ24" s="105"/>
      <c r="FK24" s="105"/>
      <c r="FL24" s="105"/>
      <c r="FM24" s="105"/>
      <c r="FN24" s="105"/>
      <c r="FO24" s="105"/>
      <c r="FP24" s="105"/>
      <c r="FQ24" s="105"/>
      <c r="FR24" s="105"/>
      <c r="FS24" s="105"/>
      <c r="FT24" s="105"/>
      <c r="FU24" s="105"/>
      <c r="FV24" s="105"/>
      <c r="FW24" s="105"/>
      <c r="FX24" s="105"/>
      <c r="FY24" s="105"/>
      <c r="FZ24" s="105"/>
      <c r="GA24" s="105"/>
      <c r="GB24" s="105"/>
      <c r="GC24" s="105"/>
      <c r="GD24" s="105"/>
      <c r="GE24" s="105"/>
      <c r="GF24" s="105"/>
      <c r="GG24" s="106"/>
      <c r="GH24" s="104"/>
      <c r="GI24" s="105"/>
      <c r="GJ24" s="105"/>
      <c r="GK24" s="105"/>
      <c r="GL24" s="105"/>
      <c r="GM24" s="105"/>
      <c r="GN24" s="105"/>
      <c r="GO24" s="105"/>
      <c r="GP24" s="105"/>
      <c r="GQ24" s="105"/>
      <c r="GR24" s="105"/>
      <c r="GS24" s="105"/>
      <c r="GT24" s="105"/>
      <c r="GU24" s="105"/>
      <c r="GV24" s="105"/>
      <c r="GW24" s="105"/>
      <c r="GX24" s="105"/>
      <c r="GY24" s="105"/>
      <c r="GZ24" s="105"/>
      <c r="HA24" s="105"/>
      <c r="HB24" s="105"/>
      <c r="HC24" s="105"/>
      <c r="HD24" s="105"/>
      <c r="HE24" s="105"/>
      <c r="HF24" s="105"/>
      <c r="HG24" s="105"/>
      <c r="HH24" s="105"/>
      <c r="HI24" s="105"/>
      <c r="HJ24" s="105"/>
      <c r="HK24" s="105"/>
      <c r="HL24" s="105"/>
      <c r="HM24" s="105"/>
      <c r="HN24" s="105"/>
      <c r="HO24" s="105"/>
      <c r="HP24" s="105"/>
      <c r="HQ24" s="105"/>
      <c r="HR24" s="105"/>
      <c r="HS24" s="105"/>
      <c r="HT24" s="105"/>
      <c r="HU24" s="105"/>
      <c r="HV24" s="105"/>
      <c r="HW24" s="105"/>
      <c r="HX24" s="105"/>
      <c r="HY24" s="105"/>
      <c r="HZ24" s="105"/>
      <c r="IA24" s="105"/>
      <c r="IB24" s="105"/>
      <c r="IC24" s="105"/>
      <c r="ID24" s="105"/>
      <c r="IE24" s="105"/>
      <c r="IF24" s="105"/>
      <c r="IG24" s="105"/>
      <c r="IH24" s="105"/>
      <c r="II24" s="105"/>
      <c r="IJ24" s="105"/>
      <c r="IK24" s="105"/>
      <c r="IL24" s="105"/>
      <c r="IM24" s="105"/>
      <c r="IN24" s="105"/>
      <c r="IO24" s="105"/>
      <c r="IP24" s="105"/>
      <c r="IQ24" s="105"/>
      <c r="IR24" s="105"/>
      <c r="IS24" s="105"/>
      <c r="IT24" s="105"/>
      <c r="IU24" s="105"/>
      <c r="IV24" s="105"/>
      <c r="IW24" s="105"/>
      <c r="IX24" s="105"/>
      <c r="IY24" s="105"/>
      <c r="IZ24" s="105"/>
      <c r="JA24" s="105"/>
      <c r="JB24" s="105"/>
      <c r="JC24" s="105"/>
      <c r="JD24" s="105"/>
      <c r="JE24" s="105"/>
      <c r="JF24" s="105"/>
      <c r="JG24" s="105"/>
      <c r="JH24" s="105"/>
      <c r="JI24" s="105"/>
      <c r="JJ24" s="105"/>
      <c r="JK24" s="105"/>
      <c r="JL24" s="105"/>
      <c r="JM24" s="105"/>
      <c r="JN24" s="105"/>
      <c r="JO24" s="105"/>
      <c r="JP24" s="105"/>
      <c r="JQ24" s="105"/>
      <c r="JR24" s="105"/>
      <c r="JS24" s="105"/>
      <c r="JT24" s="105"/>
      <c r="JU24" s="105"/>
      <c r="JV24" s="106"/>
      <c r="JW24" s="104"/>
      <c r="JX24" s="105"/>
      <c r="JY24" s="105"/>
      <c r="JZ24" s="105"/>
      <c r="KA24" s="105"/>
      <c r="KB24" s="105"/>
      <c r="KC24" s="105"/>
      <c r="KD24" s="105"/>
      <c r="KE24" s="105"/>
      <c r="KF24" s="105"/>
      <c r="KG24" s="105"/>
      <c r="KH24" s="105"/>
      <c r="KI24" s="105"/>
      <c r="KJ24" s="105"/>
      <c r="KK24" s="105"/>
      <c r="KL24" s="105"/>
      <c r="KM24" s="105"/>
      <c r="KN24" s="105"/>
      <c r="KO24" s="105"/>
      <c r="KP24" s="105"/>
      <c r="KQ24" s="105"/>
      <c r="KR24" s="105"/>
      <c r="KS24" s="105"/>
      <c r="KT24" s="105"/>
      <c r="KU24" s="105"/>
      <c r="KV24" s="105"/>
      <c r="KW24" s="105"/>
      <c r="KX24" s="105"/>
      <c r="KY24" s="105"/>
      <c r="KZ24" s="105"/>
      <c r="LA24" s="105"/>
      <c r="LB24" s="105"/>
      <c r="LC24" s="105"/>
      <c r="LD24" s="105"/>
      <c r="LE24" s="105"/>
      <c r="LF24" s="105"/>
      <c r="LG24" s="105"/>
      <c r="LH24" s="105"/>
      <c r="LI24" s="105"/>
      <c r="LJ24" s="105"/>
      <c r="LK24" s="105"/>
      <c r="LL24" s="105"/>
      <c r="LM24" s="105"/>
      <c r="LN24" s="105"/>
      <c r="LO24" s="105"/>
      <c r="LP24" s="105"/>
      <c r="LQ24" s="105"/>
      <c r="LR24" s="105"/>
      <c r="LS24" s="105"/>
      <c r="LT24" s="105"/>
      <c r="LU24" s="105"/>
      <c r="LV24" s="105"/>
      <c r="LW24" s="105"/>
      <c r="LX24" s="105"/>
      <c r="LY24" s="105"/>
      <c r="LZ24" s="105"/>
      <c r="MA24" s="105"/>
      <c r="MB24" s="105"/>
      <c r="MC24" s="105"/>
      <c r="MD24" s="105"/>
      <c r="ME24" s="105"/>
      <c r="MF24" s="105"/>
      <c r="MG24" s="105"/>
      <c r="MH24" s="105"/>
      <c r="MI24" s="105"/>
      <c r="MJ24" s="105"/>
      <c r="MK24" s="105"/>
      <c r="ML24" s="105"/>
      <c r="MM24" s="105"/>
      <c r="MN24" s="105"/>
      <c r="MO24" s="105"/>
      <c r="MP24" s="105"/>
      <c r="MQ24" s="105"/>
      <c r="MR24" s="105"/>
      <c r="MS24" s="105"/>
      <c r="MT24" s="105"/>
      <c r="MU24" s="105"/>
      <c r="MV24" s="105"/>
      <c r="MW24" s="105"/>
      <c r="MX24" s="105"/>
      <c r="MY24" s="105"/>
      <c r="MZ24" s="105"/>
      <c r="NA24" s="105"/>
      <c r="NB24" s="105"/>
      <c r="NC24" s="105"/>
      <c r="ND24" s="105"/>
      <c r="NE24" s="105"/>
      <c r="NF24" s="105"/>
      <c r="NG24" s="105"/>
      <c r="NH24" s="105"/>
      <c r="NI24" s="105"/>
      <c r="NJ24" s="105"/>
      <c r="NK24" s="106"/>
      <c r="NL24" s="104"/>
      <c r="NM24" s="105"/>
      <c r="NN24" s="105"/>
      <c r="NO24" s="105"/>
      <c r="NP24" s="105"/>
      <c r="NQ24" s="105"/>
      <c r="NR24" s="105"/>
      <c r="NS24" s="105"/>
      <c r="NT24" s="105"/>
      <c r="NU24" s="105"/>
      <c r="NV24" s="105"/>
      <c r="NW24" s="105"/>
      <c r="NX24" s="105"/>
      <c r="NY24" s="105"/>
      <c r="NZ24" s="105"/>
      <c r="OA24" s="105"/>
      <c r="OB24" s="105"/>
      <c r="OC24" s="105"/>
      <c r="OD24" s="105"/>
      <c r="OE24" s="105"/>
      <c r="OF24" s="105"/>
      <c r="OG24" s="105"/>
      <c r="OH24" s="105"/>
      <c r="OI24" s="105"/>
      <c r="OJ24" s="105"/>
      <c r="OK24" s="105"/>
      <c r="OL24" s="105"/>
      <c r="OM24" s="105"/>
      <c r="ON24" s="105"/>
      <c r="OO24" s="105"/>
      <c r="OP24" s="105"/>
      <c r="OQ24" s="105"/>
      <c r="OR24" s="105"/>
      <c r="OS24" s="105"/>
      <c r="OT24" s="105"/>
      <c r="OU24" s="105"/>
      <c r="OV24" s="105"/>
      <c r="OW24" s="105"/>
      <c r="OX24" s="105"/>
      <c r="OY24" s="105"/>
      <c r="OZ24" s="105"/>
      <c r="PA24" s="105"/>
      <c r="PB24" s="105"/>
      <c r="PC24" s="105"/>
      <c r="PD24" s="105"/>
      <c r="PE24" s="105"/>
      <c r="PF24" s="105"/>
      <c r="PG24" s="105"/>
      <c r="PH24" s="105"/>
      <c r="PI24" s="105"/>
      <c r="PJ24" s="105"/>
      <c r="PK24" s="105"/>
      <c r="PL24" s="105"/>
      <c r="PM24" s="105"/>
      <c r="PN24" s="105"/>
      <c r="PO24" s="105"/>
      <c r="PP24" s="105"/>
      <c r="PQ24" s="105"/>
      <c r="PR24" s="105"/>
      <c r="PS24" s="105"/>
      <c r="PT24" s="105"/>
      <c r="PU24" s="105"/>
      <c r="PV24" s="105"/>
      <c r="PW24" s="105"/>
      <c r="PX24" s="105"/>
      <c r="PY24" s="105"/>
      <c r="PZ24" s="105"/>
      <c r="QA24" s="105"/>
      <c r="QB24" s="105"/>
      <c r="QC24" s="105"/>
      <c r="QD24" s="105"/>
      <c r="QE24" s="105"/>
      <c r="QF24" s="105"/>
      <c r="QG24" s="105"/>
      <c r="QH24" s="105"/>
      <c r="QI24" s="105"/>
      <c r="QJ24" s="105"/>
      <c r="QK24" s="105"/>
      <c r="QL24" s="105"/>
      <c r="QM24" s="105"/>
      <c r="QN24" s="105"/>
      <c r="QO24" s="105"/>
      <c r="QP24" s="105"/>
      <c r="QQ24" s="105"/>
      <c r="QR24" s="105"/>
      <c r="QS24" s="105"/>
      <c r="QT24" s="105"/>
      <c r="QU24" s="105"/>
      <c r="QV24" s="105"/>
      <c r="QW24" s="105"/>
      <c r="QX24" s="105"/>
      <c r="QY24" s="105"/>
      <c r="QZ24" s="106"/>
      <c r="RA24" s="104"/>
      <c r="RB24" s="105"/>
      <c r="RC24" s="105"/>
      <c r="RD24" s="105"/>
      <c r="RE24" s="105"/>
      <c r="RF24" s="105"/>
      <c r="RG24" s="105"/>
      <c r="RH24" s="105"/>
      <c r="RI24" s="105"/>
      <c r="RJ24" s="105"/>
      <c r="RK24" s="105"/>
      <c r="RL24" s="105"/>
      <c r="RM24" s="105"/>
      <c r="RN24" s="105"/>
      <c r="RO24" s="105"/>
      <c r="RP24" s="105"/>
      <c r="RQ24" s="105"/>
      <c r="RR24" s="105"/>
      <c r="RS24" s="105"/>
      <c r="RT24" s="105"/>
      <c r="RU24" s="105"/>
      <c r="RV24" s="105"/>
      <c r="RW24" s="105"/>
      <c r="RX24" s="105"/>
      <c r="RY24" s="105"/>
      <c r="RZ24" s="105"/>
      <c r="SA24" s="105"/>
      <c r="SB24" s="105"/>
      <c r="SC24" s="105"/>
      <c r="SD24" s="105"/>
      <c r="SE24" s="105"/>
      <c r="SF24" s="105"/>
      <c r="SG24" s="105"/>
      <c r="SH24" s="105"/>
      <c r="SI24" s="105"/>
      <c r="SJ24" s="105"/>
      <c r="SK24" s="105"/>
      <c r="SL24" s="105"/>
      <c r="SM24" s="105"/>
      <c r="SN24" s="105"/>
      <c r="SO24" s="105"/>
      <c r="SP24" s="105"/>
      <c r="SQ24" s="105"/>
      <c r="SR24" s="105"/>
      <c r="SS24" s="105"/>
      <c r="ST24" s="105"/>
      <c r="SU24" s="105"/>
      <c r="SV24" s="105"/>
      <c r="SW24" s="105"/>
      <c r="SX24" s="105"/>
      <c r="SY24" s="105"/>
      <c r="SZ24" s="105"/>
      <c r="TA24" s="105"/>
      <c r="TB24" s="105"/>
      <c r="TC24" s="105"/>
      <c r="TD24" s="105"/>
      <c r="TE24" s="105"/>
      <c r="TF24" s="105"/>
      <c r="TG24" s="105"/>
      <c r="TH24" s="105"/>
      <c r="TI24" s="105"/>
      <c r="TJ24" s="105"/>
      <c r="TK24" s="105"/>
      <c r="TL24" s="105"/>
      <c r="TM24" s="105"/>
      <c r="TN24" s="105"/>
      <c r="TO24" s="105"/>
      <c r="TP24" s="105"/>
      <c r="TQ24" s="105"/>
      <c r="TR24" s="105"/>
      <c r="TS24" s="105"/>
      <c r="TT24" s="105"/>
      <c r="TU24" s="105"/>
      <c r="TV24" s="105"/>
      <c r="TW24" s="105"/>
      <c r="TX24" s="105"/>
      <c r="TY24" s="105"/>
      <c r="TZ24" s="105"/>
      <c r="UA24" s="105"/>
      <c r="UB24" s="105"/>
      <c r="UC24" s="105"/>
      <c r="UD24" s="105"/>
      <c r="UE24" s="105"/>
      <c r="UF24" s="105"/>
      <c r="UG24" s="105"/>
      <c r="UH24" s="105"/>
      <c r="UI24" s="105"/>
      <c r="UJ24" s="105"/>
      <c r="UK24" s="105"/>
      <c r="UL24" s="105"/>
      <c r="UM24" s="105"/>
      <c r="UN24" s="105"/>
      <c r="UO24" s="106"/>
    </row>
  </sheetData>
  <sheetProtection sheet="1" objects="1" scenarios="1" insertRows="0" selectLockedCells="1"/>
  <mergeCells count="16">
    <mergeCell ref="GH2:JV2"/>
    <mergeCell ref="JW2:NK2"/>
    <mergeCell ref="NL2:QZ2"/>
    <mergeCell ref="RA2:UO2"/>
    <mergeCell ref="B15:B16"/>
    <mergeCell ref="B17:B18"/>
    <mergeCell ref="B19:B20"/>
    <mergeCell ref="B21:B22"/>
    <mergeCell ref="D2:CR2"/>
    <mergeCell ref="CS2:GG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1" t="s">
        <v>21</v>
      </c>
      <c r="C3" s="30">
        <v>0</v>
      </c>
    </row>
    <row r="4" spans="1:4" ht="19.5" customHeight="1" x14ac:dyDescent="0.2">
      <c r="A4" s="34"/>
      <c r="B4" s="13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5"/>
  <sheetViews>
    <sheetView view="pageBreakPreview" topLeftCell="A35" zoomScaleNormal="100" zoomScaleSheetLayoutView="100" workbookViewId="0">
      <selection activeCell="C49" sqref="C4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28</v>
      </c>
      <c r="B3" s="8">
        <v>12</v>
      </c>
      <c r="C3" s="13" t="s">
        <v>39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40</v>
      </c>
      <c r="D4" s="14"/>
    </row>
    <row r="5" spans="1:4" s="81" customFormat="1" ht="13.5" x14ac:dyDescent="0.2">
      <c r="A5" s="5" t="s">
        <v>28</v>
      </c>
      <c r="B5" s="6">
        <v>54</v>
      </c>
      <c r="C5" s="14" t="s">
        <v>41</v>
      </c>
      <c r="D5" s="14"/>
    </row>
    <row r="6" spans="1:4" s="81" customFormat="1" ht="13.5" x14ac:dyDescent="0.2">
      <c r="A6" s="5" t="s">
        <v>29</v>
      </c>
      <c r="B6" s="6">
        <v>9</v>
      </c>
      <c r="C6" s="14" t="s">
        <v>42</v>
      </c>
      <c r="D6" s="14"/>
    </row>
    <row r="7" spans="1:4" s="81" customFormat="1" ht="13.5" x14ac:dyDescent="0.2">
      <c r="A7" s="5" t="s">
        <v>36</v>
      </c>
      <c r="B7" s="6">
        <v>3</v>
      </c>
      <c r="C7" s="14" t="s">
        <v>43</v>
      </c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37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29</v>
      </c>
      <c r="B17" s="6">
        <v>16</v>
      </c>
      <c r="C17" s="14" t="s">
        <v>73</v>
      </c>
      <c r="D17" s="13"/>
    </row>
    <row r="18" spans="1:9" ht="13.5" x14ac:dyDescent="0.2">
      <c r="A18" s="5" t="s">
        <v>31</v>
      </c>
      <c r="B18" s="6">
        <v>27</v>
      </c>
      <c r="C18" s="14" t="s">
        <v>44</v>
      </c>
      <c r="D18" s="14"/>
    </row>
    <row r="19" spans="1:9" ht="27" x14ac:dyDescent="0.2">
      <c r="A19" s="5" t="s">
        <v>32</v>
      </c>
      <c r="B19" s="6">
        <v>25</v>
      </c>
      <c r="C19" s="14" t="s">
        <v>45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116" t="s">
        <v>35</v>
      </c>
      <c r="B20" s="6">
        <v>6</v>
      </c>
      <c r="C20" s="14" t="s">
        <v>46</v>
      </c>
      <c r="D20" s="14"/>
      <c r="E20" s="37"/>
      <c r="F20" s="54"/>
      <c r="G20" s="55"/>
      <c r="H20" s="56"/>
      <c r="I20" s="37"/>
    </row>
    <row r="21" spans="1:9" ht="15" x14ac:dyDescent="0.2">
      <c r="A21" s="115" t="s">
        <v>29</v>
      </c>
      <c r="B21" s="6">
        <v>16</v>
      </c>
      <c r="C21" s="14" t="s">
        <v>74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36</v>
      </c>
      <c r="B22" s="6">
        <v>3</v>
      </c>
      <c r="C22" s="14" t="s">
        <v>43</v>
      </c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13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37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33</v>
      </c>
      <c r="B31" s="8">
        <v>25</v>
      </c>
      <c r="C31" s="13" t="s">
        <v>47</v>
      </c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16</v>
      </c>
      <c r="C32" s="14" t="s">
        <v>48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34</v>
      </c>
      <c r="B33" s="6">
        <v>24</v>
      </c>
      <c r="C33" s="14" t="s">
        <v>49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29</v>
      </c>
      <c r="B34" s="6">
        <v>16</v>
      </c>
      <c r="C34" s="14" t="s">
        <v>50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35</v>
      </c>
      <c r="B35" s="6">
        <v>9</v>
      </c>
      <c r="C35" s="14" t="s">
        <v>51</v>
      </c>
      <c r="D35" s="14"/>
    </row>
    <row r="36" spans="1:9" ht="13.5" x14ac:dyDescent="0.2">
      <c r="A36" s="5" t="s">
        <v>36</v>
      </c>
      <c r="B36" s="6">
        <v>3</v>
      </c>
      <c r="C36" s="14" t="s">
        <v>43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93</v>
      </c>
      <c r="C41" s="83" t="s">
        <v>37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12</v>
      </c>
      <c r="C45" s="13" t="s">
        <v>81</v>
      </c>
      <c r="D45" s="13"/>
    </row>
    <row r="46" spans="1:9" ht="13.5" x14ac:dyDescent="0.2">
      <c r="A46" s="5" t="s">
        <v>29</v>
      </c>
      <c r="B46" s="6">
        <v>9</v>
      </c>
      <c r="C46" s="14" t="s">
        <v>52</v>
      </c>
      <c r="D46" s="14"/>
    </row>
    <row r="47" spans="1:9" ht="13.5" x14ac:dyDescent="0.2">
      <c r="A47" s="5" t="s">
        <v>30</v>
      </c>
      <c r="B47" s="6">
        <v>15</v>
      </c>
      <c r="C47" s="14" t="s">
        <v>80</v>
      </c>
      <c r="D47" s="14"/>
    </row>
    <row r="48" spans="1:9" ht="13.5" x14ac:dyDescent="0.2">
      <c r="A48" s="5" t="s">
        <v>36</v>
      </c>
      <c r="B48" s="6">
        <v>3</v>
      </c>
      <c r="C48" s="14" t="s">
        <v>43</v>
      </c>
      <c r="D48" s="14"/>
    </row>
    <row r="49" spans="1:4" ht="13.5" x14ac:dyDescent="0.2">
      <c r="A49" s="5" t="s">
        <v>21</v>
      </c>
      <c r="B49" s="6">
        <v>54</v>
      </c>
      <c r="C49" s="14" t="s">
        <v>53</v>
      </c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93</v>
      </c>
      <c r="C55" s="83" t="s">
        <v>37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35</v>
      </c>
      <c r="B59" s="8">
        <v>24</v>
      </c>
      <c r="C59" s="13" t="s">
        <v>54</v>
      </c>
      <c r="D59" s="13"/>
    </row>
    <row r="60" spans="1:4" ht="13.5" x14ac:dyDescent="0.2">
      <c r="A60" s="5" t="s">
        <v>30</v>
      </c>
      <c r="B60" s="6">
        <v>18</v>
      </c>
      <c r="C60" s="14" t="s">
        <v>55</v>
      </c>
      <c r="D60" s="14"/>
    </row>
    <row r="61" spans="1:4" ht="13.5" x14ac:dyDescent="0.2">
      <c r="A61" s="5" t="s">
        <v>29</v>
      </c>
      <c r="B61" s="6">
        <v>36</v>
      </c>
      <c r="C61" s="14" t="s">
        <v>57</v>
      </c>
      <c r="D61" s="14"/>
    </row>
    <row r="62" spans="1:4" ht="13.5" x14ac:dyDescent="0.2">
      <c r="A62" s="5" t="s">
        <v>36</v>
      </c>
      <c r="B62" s="6">
        <v>3</v>
      </c>
      <c r="C62" s="14" t="s">
        <v>43</v>
      </c>
      <c r="D62" s="14"/>
    </row>
    <row r="63" spans="1:4" ht="13.5" x14ac:dyDescent="0.2">
      <c r="A63" s="5" t="s">
        <v>21</v>
      </c>
      <c r="B63" s="6">
        <v>12</v>
      </c>
      <c r="C63" s="14" t="s">
        <v>56</v>
      </c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93</v>
      </c>
      <c r="C69" s="83" t="s">
        <v>37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29</v>
      </c>
      <c r="B73" s="8">
        <v>9</v>
      </c>
      <c r="C73" s="13" t="s">
        <v>58</v>
      </c>
      <c r="D73" s="13"/>
    </row>
    <row r="74" spans="1:4" ht="13.5" x14ac:dyDescent="0.2">
      <c r="A74" s="5" t="s">
        <v>36</v>
      </c>
      <c r="B74" s="6">
        <v>3</v>
      </c>
      <c r="C74" s="14" t="s">
        <v>43</v>
      </c>
      <c r="D74" s="14"/>
    </row>
    <row r="75" spans="1:4" ht="13.5" x14ac:dyDescent="0.2">
      <c r="A75" s="5" t="s">
        <v>21</v>
      </c>
      <c r="B75" s="6">
        <v>12</v>
      </c>
      <c r="C75" s="14" t="s">
        <v>59</v>
      </c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24</v>
      </c>
      <c r="C83" s="83" t="s">
        <v>37</v>
      </c>
      <c r="D83" s="17"/>
    </row>
    <row r="84" spans="1:4" ht="14.25" x14ac:dyDescent="0.3">
      <c r="A84" s="18"/>
      <c r="B84" s="18"/>
      <c r="C84" s="18"/>
      <c r="D84" s="18"/>
    </row>
    <row r="85" spans="1:4" x14ac:dyDescent="0.2">
      <c r="A85" s="84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73:A82 A31:A40 A45:A54 A59:A68 A22:A26 A17:A2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73:B82 B31:B40 B45:B54 B59:B68 B22:B26 B17:B2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18"/>
  <sheetViews>
    <sheetView tabSelected="1" topLeftCell="A21" zoomScaleNormal="100" zoomScaleSheetLayoutView="100" workbookViewId="0">
      <selection activeCell="C37" sqref="C3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27" x14ac:dyDescent="0.2">
      <c r="A3" s="9" t="s">
        <v>28</v>
      </c>
      <c r="B3" s="8">
        <v>6</v>
      </c>
      <c r="C3" s="13" t="s">
        <v>86</v>
      </c>
      <c r="D3" s="13"/>
    </row>
    <row r="4" spans="1:4" s="81" customFormat="1" ht="27" x14ac:dyDescent="0.2">
      <c r="A4" s="5" t="s">
        <v>28</v>
      </c>
      <c r="B4" s="6">
        <v>6</v>
      </c>
      <c r="C4" s="14" t="s">
        <v>87</v>
      </c>
      <c r="D4" s="122" t="s">
        <v>102</v>
      </c>
    </row>
    <row r="5" spans="1:4" s="81" customFormat="1" ht="27" x14ac:dyDescent="0.2">
      <c r="A5" s="5" t="s">
        <v>28</v>
      </c>
      <c r="B5" s="6">
        <v>6</v>
      </c>
      <c r="C5" s="14" t="s">
        <v>66</v>
      </c>
      <c r="D5" s="14"/>
    </row>
    <row r="6" spans="1:4" s="81" customFormat="1" ht="27" x14ac:dyDescent="0.2">
      <c r="A6" s="5" t="s">
        <v>28</v>
      </c>
      <c r="B6" s="6">
        <v>6</v>
      </c>
      <c r="C6" s="14" t="s">
        <v>67</v>
      </c>
      <c r="D6" s="14"/>
    </row>
    <row r="7" spans="1:4" s="81" customFormat="1" ht="13.5" x14ac:dyDescent="0.2">
      <c r="A7" s="5" t="s">
        <v>28</v>
      </c>
      <c r="B7" s="6">
        <v>5</v>
      </c>
      <c r="C7" s="14" t="s">
        <v>68</v>
      </c>
      <c r="D7" s="122" t="s">
        <v>103</v>
      </c>
    </row>
    <row r="8" spans="1:4" s="81" customFormat="1" ht="13.5" x14ac:dyDescent="0.2">
      <c r="A8" s="5" t="s">
        <v>29</v>
      </c>
      <c r="B8" s="6">
        <v>4</v>
      </c>
      <c r="C8" s="14" t="s">
        <v>69</v>
      </c>
      <c r="D8" s="122" t="s">
        <v>76</v>
      </c>
    </row>
    <row r="9" spans="1:4" s="81" customFormat="1" ht="27" x14ac:dyDescent="0.2">
      <c r="A9" s="5" t="s">
        <v>28</v>
      </c>
      <c r="B9" s="6">
        <v>6</v>
      </c>
      <c r="C9" s="14" t="s">
        <v>70</v>
      </c>
      <c r="D9" s="122" t="s">
        <v>77</v>
      </c>
    </row>
    <row r="10" spans="1:4" s="81" customFormat="1" ht="40.5" x14ac:dyDescent="0.2">
      <c r="A10" s="5" t="s">
        <v>28</v>
      </c>
      <c r="B10" s="6">
        <v>6</v>
      </c>
      <c r="C10" s="14" t="s">
        <v>94</v>
      </c>
      <c r="D10" s="122" t="s">
        <v>96</v>
      </c>
    </row>
    <row r="11" spans="1:4" s="81" customFormat="1" ht="27" x14ac:dyDescent="0.2">
      <c r="A11" s="5" t="s">
        <v>28</v>
      </c>
      <c r="B11" s="6">
        <v>3</v>
      </c>
      <c r="C11" s="14" t="s">
        <v>95</v>
      </c>
      <c r="D11" s="14" t="s">
        <v>78</v>
      </c>
    </row>
    <row r="12" spans="1:4" s="81" customFormat="1" ht="27" x14ac:dyDescent="0.2">
      <c r="A12" s="5" t="s">
        <v>29</v>
      </c>
      <c r="B12" s="6">
        <v>3</v>
      </c>
      <c r="C12" s="14" t="s">
        <v>75</v>
      </c>
      <c r="D12" s="14"/>
    </row>
    <row r="13" spans="1:4" s="81" customFormat="1" ht="67.5" x14ac:dyDescent="0.2">
      <c r="A13" s="6" t="s">
        <v>28</v>
      </c>
      <c r="B13" s="6">
        <v>15</v>
      </c>
      <c r="C13" s="14" t="s">
        <v>97</v>
      </c>
      <c r="D13" s="122" t="s">
        <v>104</v>
      </c>
    </row>
    <row r="14" spans="1:4" s="81" customFormat="1" ht="25.5" x14ac:dyDescent="0.2">
      <c r="A14" s="6" t="s">
        <v>28</v>
      </c>
      <c r="B14" s="6">
        <v>2</v>
      </c>
      <c r="C14" s="14" t="s">
        <v>71</v>
      </c>
      <c r="D14" s="122" t="s">
        <v>105</v>
      </c>
    </row>
    <row r="15" spans="1:4" s="81" customFormat="1" ht="13.5" x14ac:dyDescent="0.2">
      <c r="A15" s="6" t="s">
        <v>29</v>
      </c>
      <c r="B15" s="6">
        <v>9</v>
      </c>
      <c r="C15" s="14" t="s">
        <v>72</v>
      </c>
      <c r="D15" s="122" t="s">
        <v>79</v>
      </c>
    </row>
    <row r="16" spans="1:4" s="81" customFormat="1" ht="27" x14ac:dyDescent="0.2">
      <c r="A16" s="79" t="s">
        <v>29</v>
      </c>
      <c r="B16" s="79">
        <v>4</v>
      </c>
      <c r="C16" s="80" t="s">
        <v>82</v>
      </c>
      <c r="D16" s="123" t="s">
        <v>84</v>
      </c>
    </row>
    <row r="17" spans="1:9" s="81" customFormat="1" ht="38.25" x14ac:dyDescent="0.2">
      <c r="A17" s="79" t="s">
        <v>29</v>
      </c>
      <c r="B17" s="79">
        <v>12</v>
      </c>
      <c r="C17" s="80" t="s">
        <v>83</v>
      </c>
      <c r="D17" s="123" t="s">
        <v>85</v>
      </c>
    </row>
    <row r="18" spans="1:9" s="81" customFormat="1" ht="14.25" thickBot="1" x14ac:dyDescent="0.25">
      <c r="A18" s="7"/>
      <c r="B18" s="7"/>
      <c r="C18" s="15"/>
      <c r="D18" s="15"/>
    </row>
    <row r="19" spans="1:9" ht="14.25" thickBot="1" x14ac:dyDescent="0.25">
      <c r="A19" s="76" t="s">
        <v>22</v>
      </c>
      <c r="B19" s="76">
        <f>SUM(B3:B18)</f>
        <v>93</v>
      </c>
      <c r="C19" s="112" t="s">
        <v>37</v>
      </c>
      <c r="D19" s="77"/>
    </row>
    <row r="20" spans="1:9" ht="15" thickBot="1" x14ac:dyDescent="0.35">
      <c r="A20" s="78"/>
      <c r="B20" s="78"/>
      <c r="C20" s="78"/>
      <c r="D20" s="78"/>
    </row>
    <row r="21" spans="1:9" ht="18.75" thickBot="1" x14ac:dyDescent="0.25">
      <c r="A21" s="71" t="s">
        <v>14</v>
      </c>
      <c r="B21" s="72">
        <v>2</v>
      </c>
      <c r="C21" s="73" t="s">
        <v>23</v>
      </c>
      <c r="D21" s="82">
        <v>42863</v>
      </c>
    </row>
    <row r="22" spans="1:9" ht="27.75" thickBot="1" x14ac:dyDescent="0.25">
      <c r="A22" s="74" t="s">
        <v>3</v>
      </c>
      <c r="B22" s="75" t="s">
        <v>15</v>
      </c>
      <c r="C22" s="74" t="s">
        <v>7</v>
      </c>
      <c r="D22" s="74" t="s">
        <v>13</v>
      </c>
    </row>
    <row r="23" spans="1:9" ht="54" x14ac:dyDescent="0.2">
      <c r="A23" s="9" t="s">
        <v>28</v>
      </c>
      <c r="B23" s="8">
        <v>2</v>
      </c>
      <c r="C23" s="13" t="s">
        <v>101</v>
      </c>
      <c r="D23" s="13"/>
    </row>
    <row r="24" spans="1:9" ht="27" x14ac:dyDescent="0.2">
      <c r="A24" s="5" t="s">
        <v>36</v>
      </c>
      <c r="B24" s="6">
        <v>2</v>
      </c>
      <c r="C24" s="14" t="s">
        <v>88</v>
      </c>
      <c r="D24" s="122" t="s">
        <v>106</v>
      </c>
    </row>
    <row r="25" spans="1:9" ht="27" x14ac:dyDescent="0.2">
      <c r="A25" s="5" t="s">
        <v>29</v>
      </c>
      <c r="B25" s="6">
        <v>8</v>
      </c>
      <c r="C25" s="14" t="s">
        <v>107</v>
      </c>
      <c r="D25" s="80"/>
    </row>
    <row r="26" spans="1:9" ht="27" x14ac:dyDescent="0.2">
      <c r="A26" s="5" t="s">
        <v>29</v>
      </c>
      <c r="B26" s="6">
        <v>2</v>
      </c>
      <c r="C26" s="14" t="s">
        <v>89</v>
      </c>
      <c r="D26" s="123" t="s">
        <v>84</v>
      </c>
      <c r="E26" s="37"/>
      <c r="F26" s="37"/>
      <c r="G26" s="37"/>
      <c r="H26" s="37"/>
      <c r="I26" s="37"/>
    </row>
    <row r="27" spans="1:9" ht="13.5" x14ac:dyDescent="0.2">
      <c r="A27" s="5" t="s">
        <v>36</v>
      </c>
      <c r="B27" s="6">
        <v>1</v>
      </c>
      <c r="C27" s="14" t="s">
        <v>98</v>
      </c>
      <c r="D27" s="123"/>
      <c r="E27" s="37"/>
      <c r="F27" s="37"/>
      <c r="G27" s="37"/>
      <c r="H27" s="37"/>
      <c r="I27" s="37"/>
    </row>
    <row r="28" spans="1:9" ht="94.5" x14ac:dyDescent="0.2">
      <c r="A28" s="5" t="s">
        <v>28</v>
      </c>
      <c r="B28" s="6">
        <v>3</v>
      </c>
      <c r="C28" s="14" t="s">
        <v>91</v>
      </c>
      <c r="D28" s="14" t="s">
        <v>90</v>
      </c>
      <c r="E28" s="37"/>
      <c r="F28" s="54"/>
      <c r="G28" s="55"/>
      <c r="H28" s="56"/>
      <c r="I28" s="37"/>
    </row>
    <row r="29" spans="1:9" ht="40.5" x14ac:dyDescent="0.2">
      <c r="A29" s="5" t="s">
        <v>28</v>
      </c>
      <c r="B29" s="6">
        <v>3</v>
      </c>
      <c r="C29" s="14" t="s">
        <v>92</v>
      </c>
      <c r="D29" s="122" t="s">
        <v>93</v>
      </c>
      <c r="E29" s="37"/>
      <c r="F29" s="57"/>
      <c r="G29" s="53"/>
      <c r="H29" s="53"/>
      <c r="I29" s="37"/>
    </row>
    <row r="30" spans="1:9" ht="13.5" x14ac:dyDescent="0.2">
      <c r="A30" s="5" t="s">
        <v>28</v>
      </c>
      <c r="B30" s="6">
        <v>3</v>
      </c>
      <c r="C30" s="14" t="s">
        <v>99</v>
      </c>
      <c r="D30" s="122" t="s">
        <v>112</v>
      </c>
      <c r="E30" s="37"/>
      <c r="F30" s="59"/>
      <c r="G30" s="60"/>
      <c r="H30" s="60"/>
      <c r="I30" s="37"/>
    </row>
    <row r="31" spans="1:9" ht="13.5" x14ac:dyDescent="0.2">
      <c r="A31" s="5" t="s">
        <v>29</v>
      </c>
      <c r="B31" s="6">
        <v>3</v>
      </c>
      <c r="C31" s="14" t="s">
        <v>100</v>
      </c>
      <c r="D31" s="14"/>
      <c r="E31" s="37"/>
      <c r="F31" s="59"/>
      <c r="G31" s="60"/>
      <c r="H31" s="60"/>
      <c r="I31" s="37"/>
    </row>
    <row r="32" spans="1:9" ht="13.5" x14ac:dyDescent="0.2">
      <c r="A32" s="5" t="s">
        <v>29</v>
      </c>
      <c r="B32" s="6">
        <v>3</v>
      </c>
      <c r="C32" s="14" t="s">
        <v>108</v>
      </c>
      <c r="D32" s="122" t="s">
        <v>109</v>
      </c>
      <c r="E32" s="37"/>
      <c r="F32" s="59"/>
      <c r="G32" s="60"/>
      <c r="H32" s="60"/>
      <c r="I32" s="37"/>
    </row>
    <row r="33" spans="1:9" ht="13.5" x14ac:dyDescent="0.2">
      <c r="A33" s="5" t="s">
        <v>31</v>
      </c>
      <c r="B33" s="6">
        <v>9</v>
      </c>
      <c r="C33" s="14" t="s">
        <v>110</v>
      </c>
      <c r="D33" s="14" t="s">
        <v>111</v>
      </c>
      <c r="E33" s="37"/>
      <c r="F33" s="59"/>
      <c r="G33" s="60"/>
      <c r="H33" s="60"/>
      <c r="I33" s="37"/>
    </row>
    <row r="34" spans="1:9" ht="13.5" x14ac:dyDescent="0.2">
      <c r="A34" s="6"/>
      <c r="B34" s="6"/>
      <c r="C34" s="14"/>
      <c r="D34" s="14"/>
      <c r="E34" s="37"/>
      <c r="F34" s="59"/>
      <c r="G34" s="60"/>
      <c r="H34" s="60"/>
      <c r="I34" s="37"/>
    </row>
    <row r="35" spans="1:9" ht="13.5" x14ac:dyDescent="0.2">
      <c r="A35" s="6"/>
      <c r="B35" s="6"/>
      <c r="C35" s="14"/>
      <c r="D35" s="14"/>
      <c r="E35" s="37"/>
      <c r="F35" s="59"/>
      <c r="G35" s="60"/>
      <c r="H35" s="60"/>
      <c r="I35" s="37"/>
    </row>
    <row r="36" spans="1:9" ht="13.5" x14ac:dyDescent="0.2">
      <c r="A36" s="6"/>
      <c r="B36" s="6"/>
      <c r="C36" s="14"/>
      <c r="D36" s="14"/>
      <c r="E36" s="37"/>
      <c r="F36" s="59"/>
      <c r="G36" s="60"/>
      <c r="H36" s="60"/>
      <c r="I36" s="37"/>
    </row>
    <row r="37" spans="1:9" ht="13.5" x14ac:dyDescent="0.2">
      <c r="A37" s="79"/>
      <c r="B37" s="79"/>
      <c r="C37" s="80"/>
      <c r="D37" s="80"/>
      <c r="E37" s="37"/>
      <c r="F37" s="59"/>
      <c r="G37" s="60"/>
      <c r="H37" s="60"/>
      <c r="I37" s="37"/>
    </row>
    <row r="38" spans="1:9" ht="13.5" x14ac:dyDescent="0.2">
      <c r="A38" s="79"/>
      <c r="B38" s="79"/>
      <c r="C38" s="80"/>
      <c r="D38" s="80"/>
      <c r="E38" s="37"/>
      <c r="F38" s="61"/>
      <c r="G38" s="62"/>
      <c r="H38" s="62"/>
      <c r="I38" s="37"/>
    </row>
    <row r="39" spans="1:9" ht="15" thickBot="1" x14ac:dyDescent="0.35">
      <c r="A39" s="7"/>
      <c r="B39" s="7"/>
      <c r="C39" s="15"/>
      <c r="D39" s="15"/>
      <c r="E39" s="37"/>
      <c r="F39" s="63"/>
      <c r="G39" s="63"/>
      <c r="H39" s="63"/>
      <c r="I39" s="37"/>
    </row>
    <row r="40" spans="1:9" ht="14.25" thickBot="1" x14ac:dyDescent="0.25">
      <c r="A40" s="76" t="s">
        <v>22</v>
      </c>
      <c r="B40" s="76">
        <f>SUM(B23:B39)</f>
        <v>39</v>
      </c>
      <c r="C40" s="112" t="s">
        <v>37</v>
      </c>
      <c r="D40" s="77"/>
      <c r="E40" s="37"/>
      <c r="F40" s="37"/>
      <c r="G40" s="37"/>
      <c r="H40" s="37"/>
      <c r="I40" s="37"/>
    </row>
    <row r="41" spans="1:9" ht="15" thickBot="1" x14ac:dyDescent="0.35">
      <c r="A41" s="78"/>
      <c r="B41" s="78"/>
      <c r="C41" s="78"/>
      <c r="D41" s="78"/>
      <c r="E41" s="37"/>
      <c r="F41" s="37"/>
      <c r="G41" s="37"/>
      <c r="H41" s="37"/>
      <c r="I41" s="37"/>
    </row>
    <row r="42" spans="1:9" ht="18.75" thickBot="1" x14ac:dyDescent="0.25">
      <c r="A42" s="71" t="s">
        <v>14</v>
      </c>
      <c r="B42" s="72">
        <v>3</v>
      </c>
      <c r="C42" s="73" t="s">
        <v>23</v>
      </c>
      <c r="D42" s="82">
        <v>42870</v>
      </c>
      <c r="E42" s="37"/>
      <c r="F42" s="37"/>
      <c r="G42" s="37"/>
      <c r="H42" s="37"/>
      <c r="I42" s="37"/>
    </row>
    <row r="43" spans="1:9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9" ht="13.5" x14ac:dyDescent="0.2">
      <c r="A44" s="9"/>
      <c r="B44" s="8"/>
      <c r="C44" s="13"/>
      <c r="D44" s="13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3.5" x14ac:dyDescent="0.2">
      <c r="A54" s="6"/>
      <c r="B54" s="6"/>
      <c r="C54" s="14"/>
      <c r="D54" s="14"/>
    </row>
    <row r="55" spans="1:4" ht="13.5" x14ac:dyDescent="0.2">
      <c r="A55" s="6"/>
      <c r="B55" s="6"/>
      <c r="C55" s="14"/>
      <c r="D55" s="14"/>
    </row>
    <row r="56" spans="1:4" ht="13.5" x14ac:dyDescent="0.2">
      <c r="A56" s="79"/>
      <c r="B56" s="79"/>
      <c r="C56" s="80"/>
      <c r="D56" s="80"/>
    </row>
    <row r="57" spans="1:4" ht="13.5" x14ac:dyDescent="0.2">
      <c r="A57" s="79"/>
      <c r="B57" s="79"/>
      <c r="C57" s="80"/>
      <c r="D57" s="80"/>
    </row>
    <row r="58" spans="1:4" ht="14.25" thickBot="1" x14ac:dyDescent="0.25">
      <c r="A58" s="7"/>
      <c r="B58" s="7"/>
      <c r="C58" s="15"/>
      <c r="D58" s="15"/>
    </row>
    <row r="59" spans="1:4" ht="14.25" thickBot="1" x14ac:dyDescent="0.25">
      <c r="A59" s="76" t="s">
        <v>22</v>
      </c>
      <c r="B59" s="76">
        <f>SUM(B44:B58)</f>
        <v>0</v>
      </c>
      <c r="C59" s="112" t="s">
        <v>37</v>
      </c>
      <c r="D59" s="77"/>
    </row>
    <row r="60" spans="1:4" ht="15" thickBot="1" x14ac:dyDescent="0.35">
      <c r="A60" s="78"/>
      <c r="B60" s="78"/>
      <c r="C60" s="78"/>
      <c r="D60" s="78"/>
    </row>
    <row r="61" spans="1:4" ht="18.75" thickBot="1" x14ac:dyDescent="0.25">
      <c r="A61" s="71" t="s">
        <v>14</v>
      </c>
      <c r="B61" s="72">
        <v>4</v>
      </c>
      <c r="C61" s="73" t="s">
        <v>23</v>
      </c>
      <c r="D61" s="82">
        <v>42877</v>
      </c>
    </row>
    <row r="62" spans="1:4" ht="27.75" thickBot="1" x14ac:dyDescent="0.25">
      <c r="A62" s="74" t="s">
        <v>3</v>
      </c>
      <c r="B62" s="75" t="s">
        <v>15</v>
      </c>
      <c r="C62" s="74" t="s">
        <v>7</v>
      </c>
      <c r="D62" s="74" t="s">
        <v>13</v>
      </c>
    </row>
    <row r="63" spans="1:4" ht="13.5" x14ac:dyDescent="0.2">
      <c r="A63" s="9"/>
      <c r="B63" s="8"/>
      <c r="C63" s="13"/>
      <c r="D63" s="13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6"/>
      <c r="B72" s="6"/>
      <c r="C72" s="14"/>
      <c r="D72" s="14"/>
    </row>
    <row r="73" spans="1:4" ht="13.5" x14ac:dyDescent="0.2">
      <c r="A73" s="6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79"/>
      <c r="B75" s="79"/>
      <c r="C75" s="80"/>
      <c r="D75" s="80"/>
    </row>
    <row r="76" spans="1:4" ht="13.5" x14ac:dyDescent="0.2">
      <c r="A76" s="79"/>
      <c r="B76" s="79"/>
      <c r="C76" s="80"/>
      <c r="D76" s="80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76" t="s">
        <v>22</v>
      </c>
      <c r="B78" s="76">
        <f>SUM(B63:B77)</f>
        <v>0</v>
      </c>
      <c r="C78" s="112" t="s">
        <v>37</v>
      </c>
      <c r="D78" s="77"/>
    </row>
    <row r="79" spans="1:4" ht="15" thickBot="1" x14ac:dyDescent="0.35">
      <c r="A79" s="78"/>
      <c r="B79" s="78"/>
      <c r="C79" s="78"/>
      <c r="D79" s="78"/>
    </row>
    <row r="80" spans="1:4" ht="18.75" thickBot="1" x14ac:dyDescent="0.25">
      <c r="A80" s="71" t="s">
        <v>14</v>
      </c>
      <c r="B80" s="72">
        <v>5</v>
      </c>
      <c r="C80" s="73" t="s">
        <v>23</v>
      </c>
      <c r="D80" s="82">
        <v>42884</v>
      </c>
    </row>
    <row r="81" spans="1:4" ht="27.75" thickBot="1" x14ac:dyDescent="0.25">
      <c r="A81" s="74" t="s">
        <v>3</v>
      </c>
      <c r="B81" s="75" t="s">
        <v>15</v>
      </c>
      <c r="C81" s="74" t="s">
        <v>7</v>
      </c>
      <c r="D81" s="74" t="s">
        <v>13</v>
      </c>
    </row>
    <row r="82" spans="1:4" ht="13.5" x14ac:dyDescent="0.2">
      <c r="A82" s="9"/>
      <c r="B82" s="8"/>
      <c r="C82" s="13"/>
      <c r="D82" s="13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6"/>
      <c r="B91" s="6"/>
      <c r="C91" s="14"/>
      <c r="D91" s="14"/>
    </row>
    <row r="92" spans="1:4" ht="13.5" x14ac:dyDescent="0.2">
      <c r="A92" s="6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79"/>
      <c r="B94" s="79"/>
      <c r="C94" s="80"/>
      <c r="D94" s="80"/>
    </row>
    <row r="95" spans="1:4" ht="13.5" x14ac:dyDescent="0.2">
      <c r="A95" s="79"/>
      <c r="B95" s="79"/>
      <c r="C95" s="80"/>
      <c r="D95" s="80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76" t="s">
        <v>22</v>
      </c>
      <c r="B97" s="76">
        <f>SUM(B82:B96)</f>
        <v>0</v>
      </c>
      <c r="C97" s="112" t="s">
        <v>37</v>
      </c>
      <c r="D97" s="77"/>
    </row>
    <row r="98" spans="1:4" ht="15" thickBot="1" x14ac:dyDescent="0.35">
      <c r="A98" s="78"/>
      <c r="B98" s="78"/>
      <c r="C98" s="78"/>
      <c r="D98" s="78"/>
    </row>
    <row r="99" spans="1:4" ht="18.75" thickBot="1" x14ac:dyDescent="0.25">
      <c r="A99" s="71" t="s">
        <v>14</v>
      </c>
      <c r="B99" s="72">
        <v>6</v>
      </c>
      <c r="C99" s="73" t="s">
        <v>23</v>
      </c>
      <c r="D99" s="82">
        <v>42891</v>
      </c>
    </row>
    <row r="100" spans="1:4" ht="27.75" thickBot="1" x14ac:dyDescent="0.25">
      <c r="A100" s="74" t="s">
        <v>3</v>
      </c>
      <c r="B100" s="75" t="s">
        <v>15</v>
      </c>
      <c r="C100" s="74" t="s">
        <v>7</v>
      </c>
      <c r="D100" s="74" t="s">
        <v>13</v>
      </c>
    </row>
    <row r="101" spans="1:4" ht="13.5" x14ac:dyDescent="0.2">
      <c r="A101" s="9"/>
      <c r="B101" s="8"/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5"/>
      <c r="B107" s="6"/>
      <c r="C107" s="14"/>
      <c r="D107" s="14"/>
    </row>
    <row r="108" spans="1:4" ht="13.5" x14ac:dyDescent="0.2">
      <c r="A108" s="5"/>
      <c r="B108" s="6"/>
      <c r="C108" s="14"/>
      <c r="D108" s="14"/>
    </row>
    <row r="109" spans="1:4" ht="13.5" x14ac:dyDescent="0.2">
      <c r="A109" s="5"/>
      <c r="B109" s="6"/>
      <c r="C109" s="14"/>
      <c r="D109" s="14"/>
    </row>
    <row r="110" spans="1:4" ht="13.5" x14ac:dyDescent="0.2">
      <c r="A110" s="6"/>
      <c r="B110" s="6"/>
      <c r="C110" s="14"/>
      <c r="D110" s="14"/>
    </row>
    <row r="111" spans="1:4" ht="13.5" x14ac:dyDescent="0.2">
      <c r="A111" s="6"/>
      <c r="B111" s="6"/>
      <c r="C111" s="14"/>
      <c r="D111" s="14"/>
    </row>
    <row r="112" spans="1:4" ht="13.5" x14ac:dyDescent="0.2">
      <c r="A112" s="6"/>
      <c r="B112" s="6"/>
      <c r="C112" s="14"/>
      <c r="D112" s="14"/>
    </row>
    <row r="113" spans="1:4" ht="13.5" x14ac:dyDescent="0.2">
      <c r="A113" s="79"/>
      <c r="B113" s="79"/>
      <c r="C113" s="80"/>
      <c r="D113" s="80"/>
    </row>
    <row r="114" spans="1:4" ht="13.5" x14ac:dyDescent="0.2">
      <c r="A114" s="79"/>
      <c r="B114" s="79"/>
      <c r="C114" s="80"/>
      <c r="D114" s="80"/>
    </row>
    <row r="115" spans="1:4" ht="14.25" thickBot="1" x14ac:dyDescent="0.25">
      <c r="A115" s="7"/>
      <c r="B115" s="7"/>
      <c r="C115" s="15"/>
      <c r="D115" s="15"/>
    </row>
    <row r="116" spans="1:4" ht="14.25" thickBot="1" x14ac:dyDescent="0.25">
      <c r="A116" s="76" t="s">
        <v>22</v>
      </c>
      <c r="B116" s="76">
        <f>SUM(B101:B115)</f>
        <v>0</v>
      </c>
      <c r="C116" s="112" t="s">
        <v>37</v>
      </c>
      <c r="D116" s="77"/>
    </row>
    <row r="117" spans="1:4" ht="14.25" x14ac:dyDescent="0.3">
      <c r="A117" s="78"/>
      <c r="B117" s="78"/>
      <c r="C117" s="78"/>
      <c r="D117" s="78"/>
    </row>
    <row r="118" spans="1:4" x14ac:dyDescent="0.2">
      <c r="A118" s="84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8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0:F37 B3:B18 B23:B39 B44:B58 B63:B77 B82:B96 B101:B11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9 B40 B59 B78 B97 B116">
      <formula1>0</formula1>
      <formula2>NbPerWeek * NbQuartPer</formula2>
    </dataValidation>
    <dataValidation type="list" allowBlank="1" showInputMessage="1" showErrorMessage="1" sqref="A3:A18 A23:A39 A44:A58 A63:A77 A82:A96 A101:A115">
      <formula1>lstTasks</formula1>
    </dataValidation>
  </dataValidations>
  <hyperlinks>
    <hyperlink ref="D9" r:id="rId1"/>
    <hyperlink ref="D17" r:id="rId2"/>
    <hyperlink ref="D16" r:id="rId3"/>
    <hyperlink ref="D4" r:id="rId4" display="planification initial : https://github.com/StephanePittier/TPI/tree/master/Journal%20de%20travail/Ancien"/>
    <hyperlink ref="D26" r:id="rId5"/>
    <hyperlink ref="D29" r:id="rId6"/>
    <hyperlink ref="D7" r:id="rId7"/>
    <hyperlink ref="D8" r:id="rId8"/>
    <hyperlink ref="D10" r:id="rId9"/>
    <hyperlink ref="D13" r:id="rId10"/>
    <hyperlink ref="D14" r:id="rId11"/>
    <hyperlink ref="D15" r:id="rId12"/>
    <hyperlink ref="D24" r:id="rId13"/>
    <hyperlink ref="D32" r:id="rId14"/>
    <hyperlink ref="D30" r:id="rId15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16"/>
  <headerFooter>
    <oddHeader>&amp;L&amp;"ETML L,Normal"&amp;24ETML</oddHeader>
    <oddFooter>&amp;C&amp;F&amp;L&amp;D</oddFooter>
  </headerFooter>
  <drawing r:id="rId17"/>
  <legacyDrawing r:id="rId18"/>
  <controls>
    <mc:AlternateContent xmlns:mc="http://schemas.openxmlformats.org/markup-compatibility/2006">
      <mc:Choice Requires="x14">
        <control shapeId="44033" r:id="rId19" name="btnImportRealisation">
          <controlPr defaultSize="0" autoLine="0" autoPict="0" r:id="rId2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4033" r:id="rId19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2017-05-10T14:29:16Z</dcterms:modified>
  <cp:contentStatus>Version 8.0</cp:contentStatus>
</cp:coreProperties>
</file>