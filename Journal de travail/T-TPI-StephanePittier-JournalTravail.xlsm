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Diagramme!$A$1:$UP$25</definedName>
    <definedName name="_xlnm.Print_Area" localSheetId="0">Donnees!$A$1:$G$54</definedName>
    <definedName name="_xlnm.Print_Area" localSheetId="7">JNLTRAV!$A$1:$D$136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5" i="157" l="1"/>
  <c r="B116" i="157"/>
  <c r="B97" i="157"/>
  <c r="B78" i="157"/>
  <c r="B45" i="157"/>
  <c r="B19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<sst xmlns="http://schemas.openxmlformats.org/spreadsheetml/2006/main" count="365" uniqueCount="163">
  <si>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</si>
  <si>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</si>
  <si>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</si>
  <si>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</si>
  <si>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</si>
  <si>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</si>
  <si>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</si>
  <si>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</si>
  <si>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</si>
  <si>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</si>
  <si>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</si>
  <si>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</si>
  <si>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</si>
  <si>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</si>
  <si>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</si>
  <si>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</si>
  <si>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</si>
  <si>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</si>
  <si>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</si>
  <si>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</si>
  <si>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</si>
  <si>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</si>
  <si>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</si>
  <si>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</si>
  <si>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</si>
  <si>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</si>
  <si>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</si>
  <si>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</si>
  <si>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</si>
  <si>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</si>
  <si>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</si>
  <si>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</si>
  <si>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</si>
  <si>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</si>
  <si>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</si>
  <si>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</si>
  <si>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</si>
  <si>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</si>
  <si>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</si>
  <si>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</si>
  <si>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</si>
  <si>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</si>
  <si>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</si>
  <si>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</si>
  <si>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</si>
  <si>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</si>
  <si>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</si>
  <si>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</si>
  <si>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</si>
  <si>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</si>
  <si>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</si>
  <si>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</si>
  <si>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</si>
  <si>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</si>
  <si>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</si>
  <si>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</si>
  <si>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</si>
  <si>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</si>
  <si>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</si>
  <si>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</si>
  <si>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</si>
  <si>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</si>
  <si>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</si>
  <si>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</si>
  <si>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</si>
  <si>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</si>
  <si>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</si>
  <si>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</si>
  <si>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</si>
  <si>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</si>
  <si>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</si>
  <si>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</si>
  <si>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</si>
  <si>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</si>
  <si>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</si>
  <si>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</si>
  <si>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</si>
  <si>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</si>
  <si>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</si>
  <si>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</si>
  <si>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</si>
  <si>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</si>
  <si>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</si>
  <si>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</si>
  <si>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</si>
  <si>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</si>
  <si>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</si>
  <si>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</si>
  <si>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</si>
  <si>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</si>
  <si>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</si>
  <si>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</si>
  <si>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</si>
  <si>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</si>
  <si>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</si>
  <si>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</si>
  <si>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</si>
  <si>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</si>
  <si>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</si>
  <si>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</si>
  <si>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</si>
  <si>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</si>
  <si>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</si>
  <si>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</si>
  <si>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</si>
  <si>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</si>
  <si>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</si>
  <si>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</si>
  <si>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</si>
  <si>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</si>
  <si>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</si>
  <si>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</si>
  <si>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</si>
  <si>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</si>
  <si>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</si>
  <si>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</si>
  <si>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</si>
  <si>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</si>
  <si>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</si>
  <si>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</si>
  <si>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</si>
  <si>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</si>
  <si>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</si>
  <si>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</si>
  <si>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</si>
  <si>
    <t>Form Converter.cs : Ligne 100</t>
  </si>
  <si>
    <t>Form Converter.cs : Ligne 150</t>
  </si>
  <si>
    <t>Rapport Chapitre 4</t>
  </si>
  <si>
    <t>Form Converter.cs : Ligne 80</t>
  </si>
  <si>
    <t>Lundi :
&gt; Création de la méthode CalculateValues qui permet les opérations arithmétiqus</t>
  </si>
  <si>
    <t>Lundi : Convenu avec GGZ 
&gt; GGZ va m'envoyer un fichier Excel qui contient quelque idée pour le convertisseur
&gt; Les chiffres à virgule flotante posent un soucis. Il sera reglé après la methode de calcul
&gt; Le projet avance bien</t>
  </si>
  <si>
    <t>Création d'un fichier Excel, reprenant une version papier, pour montrer comment l'affichage fonctionne</t>
  </si>
  <si>
    <t>Implémentation du tableau vu sur le Excel dans le programme</t>
  </si>
  <si>
    <t>Lundi : Remplissage du journal de travail</t>
  </si>
  <si>
    <t>Mercredi : Création de la méthode permettant d'afficher une verion en colone du calcul</t>
  </si>
  <si>
    <t>Mercredi : Début de la methode InitialisePannel qui permet de placer les label pour le detail des opérations.</t>
  </si>
  <si>
    <t>Mercredi : Mise à jour du journal de travail avec les liens</t>
  </si>
  <si>
    <t>Mercredi :
&gt; Après réfléction, les opérations seront divisé en 4 fonctions (addition, soustraction, multiplication et division.
&gt; Création de la fonction addition
&gt; Création de la fonction de soustraction</t>
  </si>
  <si>
    <t xml:space="preserve">Mercredi : 
&gt; Mise à jour de la documentation avec pour le calcule :
- addition
- soustraction
&gt; Mise à jour de la documentation avec la partie conversion:
- convert to all
</t>
  </si>
  <si>
    <t>Rapport chapitre 4.1.5 à 4.1.8 (ce sont des ébauches, ils seront compléter avec les screens quand la partie calcul et affichage sera finie)</t>
  </si>
  <si>
    <t>Mercredi : Création de la fonction addValue permettant l'addition de 2 valeurs</t>
  </si>
  <si>
    <t>Jeudi : Mise à jour de la fonction addition et soustraction avec les nouveau tableau de retenue et de resultat. Pour faciliter les fonction multiplication et division</t>
  </si>
  <si>
    <t>Jeudi : Création de la fonction multiplication. 2 valeurs en base différente. Retenue et resultat</t>
  </si>
  <si>
    <t>Jeudi : Petite reflection sur les multiplications et les divisions. Comment les expliquers étapes par étapes</t>
  </si>
  <si>
    <t>Jeudi : Suite de la fonction de multiplication. Création des boucle for pour le multiplication étape par étape.</t>
  </si>
  <si>
    <t>Vendredi : Création de la grille de test sur Excel</t>
  </si>
  <si>
    <t>Grille de test</t>
  </si>
  <si>
    <t xml:space="preserve">Vendredi : Création de la fonction de division. </t>
  </si>
  <si>
    <t>Vendredi : Finition de la fonction de multiplication</t>
  </si>
  <si>
    <t>Vendredi : Mise à jour des structogrammes de la méthode calcul, addition, BCD</t>
  </si>
  <si>
    <t>Vendredi : Rendez-vous avec M.Zahn 
&gt; discussion sur l'avancement et l'état actuel du projet
&gt; Discussion sur le futur du projet</t>
  </si>
  <si>
    <t>Vendredi : Mise à jour du journal de travail</t>
  </si>
  <si>
    <t>Vendredi : Mise à jour du journal de travail avec les liens</t>
  </si>
  <si>
    <t xml:space="preserve">Vendredi : Suite de la methode de division.
&gt; Ma fonction immaginée ne fonctionne qu'avec les nombres décimaux.
&gt; Je vais réfléchir sur une nouvelle façon de convertir les données </t>
  </si>
  <si>
    <t>&gt; Mise à jour de la fonction de division dans le rapport, et analyse d'une meilleure methode de division</t>
  </si>
  <si>
    <t xml:space="preserve">Vendredi : Mise à jour du structogramme affichage avec la nouvelle méthode, et mise à jour du chappitre du rapport </t>
  </si>
  <si>
    <t>Vendredi : Mise à jour de la partie réalisation avec les paragraphe sur les nouvelles fonctions et sur les nombres à virgule flotante</t>
  </si>
  <si>
    <t>Form Calculator ligne 27</t>
  </si>
  <si>
    <t>Form Calculator ligne 99</t>
  </si>
  <si>
    <t>Form Calculator ligne 143</t>
  </si>
  <si>
    <t>Form Calculator ligne 183</t>
  </si>
  <si>
    <t>Form Calculator ligne 223</t>
  </si>
  <si>
    <t xml:space="preserve">Rapport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</si>
</sst>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6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1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hyperlink" Target="https://github.com/StephanePittier/TPI/tree/master/Documentation" TargetMode="External"/><Relationship Id="rId26" Type="http://schemas.openxmlformats.org/officeDocument/2006/relationships/hyperlink" Target="https://github.com/StephanePittier/TPI/tree/master/Documentation" TargetMode="External"/><Relationship Id="rId3" Type="http://schemas.openxmlformats.org/officeDocument/2006/relationships/hyperlink" Target="..\Documentation\R-RapportTpi.docx" TargetMode="External"/><Relationship Id="rId21" Type="http://schemas.openxmlformats.org/officeDocument/2006/relationships/hyperlink" Target="https://github.com/StephanePittier/TPI/blob/master/Programme/ConvertisseurNumerique/ConvertisseurNumerique/FormCalculator.cs" TargetMode="External"/><Relationship Id="rId34" Type="http://schemas.openxmlformats.org/officeDocument/2006/relationships/image" Target="../media/image7.emf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hyperlink" Target="https://github.com/StephanePittier/TPI/blob/master/Programme/ConvertisseurNumerique/ConvertisseurNumerique/FormConverter.cs" TargetMode="External"/><Relationship Id="rId25" Type="http://schemas.openxmlformats.org/officeDocument/2006/relationships/hyperlink" Target="https://github.com/StephanePittier/TPI/tree/master/Documentation" TargetMode="External"/><Relationship Id="rId33" Type="http://schemas.openxmlformats.org/officeDocument/2006/relationships/control" Target="../activeX/activeX7.xm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hyperlink" Target="https://github.com/StephanePittier/TPI/blob/master/Programme/ConvertisseurNumerique/ConvertisseurNumerique/FormConverter.cs" TargetMode="External"/><Relationship Id="rId20" Type="http://schemas.openxmlformats.org/officeDocument/2006/relationships/hyperlink" Target="https://github.com/StephanePittier/TPI/blob/master/Programme/ConvertisseurNumerique/ConvertisseurNumerique/FormCalculator.cs" TargetMode="External"/><Relationship Id="rId29" Type="http://schemas.openxmlformats.org/officeDocument/2006/relationships/hyperlink" Target="https://github.com/StephanePittier/TPI/tree/master/Documentation" TargetMode="External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24" Type="http://schemas.openxmlformats.org/officeDocument/2006/relationships/hyperlink" Target="https://github.com/StephanePittier/TPI/blob/master/Programme/ConvertisseurNumerique/ConvertisseurNumerique/FormCalculator.cs" TargetMode="External"/><Relationship Id="rId32" Type="http://schemas.openxmlformats.org/officeDocument/2006/relationships/vmlDrawing" Target="../drawings/vmlDrawing5.vml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23" Type="http://schemas.openxmlformats.org/officeDocument/2006/relationships/hyperlink" Target="https://github.com/StephanePittier/TPI/blob/master/Programme/ConvertisseurNumerique/ConvertisseurNumerique/FormCalculator.cs" TargetMode="External"/><Relationship Id="rId28" Type="http://schemas.openxmlformats.org/officeDocument/2006/relationships/hyperlink" Target="https://github.com/StephanePittier/TPI/tree/master/Documentation" TargetMode="Externa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hyperlink" Target="https://github.com/StephanePittier/TPI/blob/master/Programme/ConvertisseurNumerique/ConvertisseurNumerique/FormConverter.cs" TargetMode="External"/><Relationship Id="rId31" Type="http://schemas.openxmlformats.org/officeDocument/2006/relationships/drawing" Target="../drawings/drawing5.xm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Relationship Id="rId22" Type="http://schemas.openxmlformats.org/officeDocument/2006/relationships/hyperlink" Target="https://github.com/StephanePittier/TPI/blob/master/Programme/ConvertisseurNumerique/ConvertisseurNumerique/FormCalculator.cs" TargetMode="External"/><Relationship Id="rId27" Type="http://schemas.openxmlformats.org/officeDocument/2006/relationships/hyperlink" Target="https://github.com/StephanePittier/TPI/tree/master/Documentation" TargetMode="External"/><Relationship Id="rId30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view="pageBreakPreview" topLeftCell="BS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6" t="s">
        <v>60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7"/>
      <c r="CJ2" s="127"/>
      <c r="CK2" s="127"/>
      <c r="CL2" s="127"/>
      <c r="CM2" s="127"/>
      <c r="CN2" s="127"/>
      <c r="CO2" s="127"/>
      <c r="CP2" s="127"/>
      <c r="CQ2" s="127"/>
      <c r="CR2" s="128"/>
      <c r="CS2" s="126" t="s">
        <v>61</v>
      </c>
      <c r="CT2" s="127"/>
      <c r="CU2" s="127"/>
      <c r="CV2" s="127"/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7"/>
      <c r="DH2" s="127"/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7"/>
      <c r="DT2" s="127"/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7"/>
      <c r="EF2" s="127"/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7"/>
      <c r="ER2" s="127"/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7"/>
      <c r="FD2" s="127"/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8"/>
      <c r="GH2" s="126" t="s">
        <v>62</v>
      </c>
      <c r="GI2" s="127"/>
      <c r="GJ2" s="127"/>
      <c r="GK2" s="127"/>
      <c r="GL2" s="127"/>
      <c r="GM2" s="127"/>
      <c r="GN2" s="127"/>
      <c r="GO2" s="127"/>
      <c r="GP2" s="127"/>
      <c r="GQ2" s="127"/>
      <c r="GR2" s="127"/>
      <c r="GS2" s="127"/>
      <c r="GT2" s="127"/>
      <c r="GU2" s="127"/>
      <c r="GV2" s="127"/>
      <c r="GW2" s="127"/>
      <c r="GX2" s="127"/>
      <c r="GY2" s="127"/>
      <c r="GZ2" s="127"/>
      <c r="HA2" s="127"/>
      <c r="HB2" s="127"/>
      <c r="HC2" s="127"/>
      <c r="HD2" s="127"/>
      <c r="HE2" s="127"/>
      <c r="HF2" s="127"/>
      <c r="HG2" s="127"/>
      <c r="HH2" s="127"/>
      <c r="HI2" s="127"/>
      <c r="HJ2" s="127"/>
      <c r="HK2" s="127"/>
      <c r="HL2" s="127"/>
      <c r="HM2" s="127"/>
      <c r="HN2" s="127"/>
      <c r="HO2" s="127"/>
      <c r="HP2" s="127"/>
      <c r="HQ2" s="127"/>
      <c r="HR2" s="127"/>
      <c r="HS2" s="127"/>
      <c r="HT2" s="127"/>
      <c r="HU2" s="127"/>
      <c r="HV2" s="127"/>
      <c r="HW2" s="127"/>
      <c r="HX2" s="127"/>
      <c r="HY2" s="127"/>
      <c r="HZ2" s="127"/>
      <c r="IA2" s="127"/>
      <c r="IB2" s="127"/>
      <c r="IC2" s="127"/>
      <c r="ID2" s="127"/>
      <c r="IE2" s="127"/>
      <c r="IF2" s="127"/>
      <c r="IG2" s="127"/>
      <c r="IH2" s="127"/>
      <c r="II2" s="127"/>
      <c r="IJ2" s="127"/>
      <c r="IK2" s="127"/>
      <c r="IL2" s="127"/>
      <c r="IM2" s="127"/>
      <c r="IN2" s="127"/>
      <c r="IO2" s="127"/>
      <c r="IP2" s="127"/>
      <c r="IQ2" s="127"/>
      <c r="IR2" s="127"/>
      <c r="IS2" s="127"/>
      <c r="IT2" s="127"/>
      <c r="IU2" s="127"/>
      <c r="IV2" s="127"/>
      <c r="IW2" s="127"/>
      <c r="IX2" s="127"/>
      <c r="IY2" s="127"/>
      <c r="IZ2" s="127"/>
      <c r="JA2" s="127"/>
      <c r="JB2" s="127"/>
      <c r="JC2" s="127"/>
      <c r="JD2" s="127"/>
      <c r="JE2" s="127"/>
      <c r="JF2" s="127"/>
      <c r="JG2" s="127"/>
      <c r="JH2" s="127"/>
      <c r="JI2" s="127"/>
      <c r="JJ2" s="127"/>
      <c r="JK2" s="127"/>
      <c r="JL2" s="127"/>
      <c r="JM2" s="127"/>
      <c r="JN2" s="127"/>
      <c r="JO2" s="127"/>
      <c r="JP2" s="127"/>
      <c r="JQ2" s="127"/>
      <c r="JR2" s="127"/>
      <c r="JS2" s="127"/>
      <c r="JT2" s="127"/>
      <c r="JU2" s="127"/>
      <c r="JV2" s="128"/>
      <c r="JW2" s="126" t="s">
        <v>63</v>
      </c>
      <c r="JX2" s="127"/>
      <c r="JY2" s="127"/>
      <c r="JZ2" s="127"/>
      <c r="KA2" s="127"/>
      <c r="KB2" s="127"/>
      <c r="KC2" s="127"/>
      <c r="KD2" s="127"/>
      <c r="KE2" s="127"/>
      <c r="KF2" s="127"/>
      <c r="KG2" s="127"/>
      <c r="KH2" s="127"/>
      <c r="KI2" s="127"/>
      <c r="KJ2" s="127"/>
      <c r="KK2" s="127"/>
      <c r="KL2" s="127"/>
      <c r="KM2" s="127"/>
      <c r="KN2" s="127"/>
      <c r="KO2" s="127"/>
      <c r="KP2" s="127"/>
      <c r="KQ2" s="127"/>
      <c r="KR2" s="127"/>
      <c r="KS2" s="127"/>
      <c r="KT2" s="127"/>
      <c r="KU2" s="127"/>
      <c r="KV2" s="127"/>
      <c r="KW2" s="127"/>
      <c r="KX2" s="127"/>
      <c r="KY2" s="127"/>
      <c r="KZ2" s="127"/>
      <c r="LA2" s="127"/>
      <c r="LB2" s="127"/>
      <c r="LC2" s="127"/>
      <c r="LD2" s="127"/>
      <c r="LE2" s="127"/>
      <c r="LF2" s="127"/>
      <c r="LG2" s="127"/>
      <c r="LH2" s="127"/>
      <c r="LI2" s="127"/>
      <c r="LJ2" s="127"/>
      <c r="LK2" s="127"/>
      <c r="LL2" s="127"/>
      <c r="LM2" s="127"/>
      <c r="LN2" s="127"/>
      <c r="LO2" s="127"/>
      <c r="LP2" s="127"/>
      <c r="LQ2" s="127"/>
      <c r="LR2" s="127"/>
      <c r="LS2" s="127"/>
      <c r="LT2" s="127"/>
      <c r="LU2" s="127"/>
      <c r="LV2" s="127"/>
      <c r="LW2" s="127"/>
      <c r="LX2" s="127"/>
      <c r="LY2" s="127"/>
      <c r="LZ2" s="127"/>
      <c r="MA2" s="127"/>
      <c r="MB2" s="127"/>
      <c r="MC2" s="127"/>
      <c r="MD2" s="127"/>
      <c r="ME2" s="127"/>
      <c r="MF2" s="127"/>
      <c r="MG2" s="127"/>
      <c r="MH2" s="127"/>
      <c r="MI2" s="127"/>
      <c r="MJ2" s="127"/>
      <c r="MK2" s="127"/>
      <c r="ML2" s="127"/>
      <c r="MM2" s="127"/>
      <c r="MN2" s="127"/>
      <c r="MO2" s="127"/>
      <c r="MP2" s="127"/>
      <c r="MQ2" s="127"/>
      <c r="MR2" s="127"/>
      <c r="MS2" s="127"/>
      <c r="MT2" s="127"/>
      <c r="MU2" s="127"/>
      <c r="MV2" s="127"/>
      <c r="MW2" s="127"/>
      <c r="MX2" s="127"/>
      <c r="MY2" s="127"/>
      <c r="MZ2" s="127"/>
      <c r="NA2" s="127"/>
      <c r="NB2" s="127"/>
      <c r="NC2" s="127"/>
      <c r="ND2" s="127"/>
      <c r="NE2" s="127"/>
      <c r="NF2" s="127"/>
      <c r="NG2" s="127"/>
      <c r="NH2" s="127"/>
      <c r="NI2" s="127"/>
      <c r="NJ2" s="127"/>
      <c r="NK2" s="128"/>
      <c r="NL2" s="126" t="s">
        <v>64</v>
      </c>
      <c r="NM2" s="127"/>
      <c r="NN2" s="127"/>
      <c r="NO2" s="127"/>
      <c r="NP2" s="127"/>
      <c r="NQ2" s="127"/>
      <c r="NR2" s="127"/>
      <c r="NS2" s="127"/>
      <c r="NT2" s="127"/>
      <c r="NU2" s="127"/>
      <c r="NV2" s="127"/>
      <c r="NW2" s="127"/>
      <c r="NX2" s="127"/>
      <c r="NY2" s="127"/>
      <c r="NZ2" s="127"/>
      <c r="OA2" s="127"/>
      <c r="OB2" s="127"/>
      <c r="OC2" s="127"/>
      <c r="OD2" s="127"/>
      <c r="OE2" s="127"/>
      <c r="OF2" s="127"/>
      <c r="OG2" s="127"/>
      <c r="OH2" s="127"/>
      <c r="OI2" s="127"/>
      <c r="OJ2" s="127"/>
      <c r="OK2" s="127"/>
      <c r="OL2" s="127"/>
      <c r="OM2" s="127"/>
      <c r="ON2" s="127"/>
      <c r="OO2" s="127"/>
      <c r="OP2" s="127"/>
      <c r="OQ2" s="127"/>
      <c r="OR2" s="127"/>
      <c r="OS2" s="127"/>
      <c r="OT2" s="127"/>
      <c r="OU2" s="127"/>
      <c r="OV2" s="127"/>
      <c r="OW2" s="127"/>
      <c r="OX2" s="127"/>
      <c r="OY2" s="127"/>
      <c r="OZ2" s="127"/>
      <c r="PA2" s="127"/>
      <c r="PB2" s="127"/>
      <c r="PC2" s="127"/>
      <c r="PD2" s="127"/>
      <c r="PE2" s="127"/>
      <c r="PF2" s="127"/>
      <c r="PG2" s="127"/>
      <c r="PH2" s="127"/>
      <c r="PI2" s="127"/>
      <c r="PJ2" s="127"/>
      <c r="PK2" s="127"/>
      <c r="PL2" s="127"/>
      <c r="PM2" s="127"/>
      <c r="PN2" s="127"/>
      <c r="PO2" s="127"/>
      <c r="PP2" s="127"/>
      <c r="PQ2" s="127"/>
      <c r="PR2" s="127"/>
      <c r="PS2" s="127"/>
      <c r="PT2" s="127"/>
      <c r="PU2" s="127"/>
      <c r="PV2" s="127"/>
      <c r="PW2" s="127"/>
      <c r="PX2" s="127"/>
      <c r="PY2" s="127"/>
      <c r="PZ2" s="127"/>
      <c r="QA2" s="127"/>
      <c r="QB2" s="127"/>
      <c r="QC2" s="127"/>
      <c r="QD2" s="127"/>
      <c r="QE2" s="127"/>
      <c r="QF2" s="127"/>
      <c r="QG2" s="127"/>
      <c r="QH2" s="127"/>
      <c r="QI2" s="127"/>
      <c r="QJ2" s="127"/>
      <c r="QK2" s="127"/>
      <c r="QL2" s="127"/>
      <c r="QM2" s="127"/>
      <c r="QN2" s="127"/>
      <c r="QO2" s="127"/>
      <c r="QP2" s="127"/>
      <c r="QQ2" s="127"/>
      <c r="QR2" s="127"/>
      <c r="QS2" s="127"/>
      <c r="QT2" s="127"/>
      <c r="QU2" s="127"/>
      <c r="QV2" s="127"/>
      <c r="QW2" s="127"/>
      <c r="QX2" s="127"/>
      <c r="QY2" s="127"/>
      <c r="QZ2" s="128"/>
      <c r="RA2" s="126" t="s">
        <v>65</v>
      </c>
      <c r="RB2" s="127"/>
      <c r="RC2" s="127"/>
      <c r="RD2" s="127"/>
      <c r="RE2" s="127"/>
      <c r="RF2" s="127"/>
      <c r="RG2" s="127"/>
      <c r="RH2" s="127"/>
      <c r="RI2" s="127"/>
      <c r="RJ2" s="127"/>
      <c r="RK2" s="127"/>
      <c r="RL2" s="127"/>
      <c r="RM2" s="127"/>
      <c r="RN2" s="127"/>
      <c r="RO2" s="127"/>
      <c r="RP2" s="127"/>
      <c r="RQ2" s="127"/>
      <c r="RR2" s="127"/>
      <c r="RS2" s="127"/>
      <c r="RT2" s="127"/>
      <c r="RU2" s="127"/>
      <c r="RV2" s="127"/>
      <c r="RW2" s="127"/>
      <c r="RX2" s="127"/>
      <c r="RY2" s="127"/>
      <c r="RZ2" s="127"/>
      <c r="SA2" s="127"/>
      <c r="SB2" s="127"/>
      <c r="SC2" s="127"/>
      <c r="SD2" s="127"/>
      <c r="SE2" s="127"/>
      <c r="SF2" s="127"/>
      <c r="SG2" s="127"/>
      <c r="SH2" s="127"/>
      <c r="SI2" s="127"/>
      <c r="SJ2" s="127"/>
      <c r="SK2" s="127"/>
      <c r="SL2" s="127"/>
      <c r="SM2" s="127"/>
      <c r="SN2" s="127"/>
      <c r="SO2" s="127"/>
      <c r="SP2" s="127"/>
      <c r="SQ2" s="127"/>
      <c r="SR2" s="127"/>
      <c r="SS2" s="127"/>
      <c r="ST2" s="127"/>
      <c r="SU2" s="127"/>
      <c r="SV2" s="127"/>
      <c r="SW2" s="127"/>
      <c r="SX2" s="127"/>
      <c r="SY2" s="127"/>
      <c r="SZ2" s="127"/>
      <c r="TA2" s="127"/>
      <c r="TB2" s="127"/>
      <c r="TC2" s="127"/>
      <c r="TD2" s="127"/>
      <c r="TE2" s="127"/>
      <c r="TF2" s="127"/>
      <c r="TG2" s="127"/>
      <c r="TH2" s="127"/>
      <c r="TI2" s="127"/>
      <c r="TJ2" s="127"/>
      <c r="TK2" s="127"/>
      <c r="TL2" s="127"/>
      <c r="TM2" s="127"/>
      <c r="TN2" s="127"/>
      <c r="TO2" s="127"/>
      <c r="TP2" s="127"/>
      <c r="TQ2" s="127"/>
      <c r="TR2" s="127"/>
      <c r="TS2" s="127"/>
      <c r="TT2" s="127"/>
      <c r="TU2" s="127"/>
      <c r="TV2" s="127"/>
      <c r="TW2" s="127"/>
      <c r="TX2" s="127"/>
      <c r="TY2" s="127"/>
      <c r="TZ2" s="127"/>
      <c r="UA2" s="127"/>
      <c r="UB2" s="127"/>
      <c r="UC2" s="127"/>
      <c r="UD2" s="127"/>
      <c r="UE2" s="127"/>
      <c r="UF2" s="127"/>
      <c r="UG2" s="127"/>
      <c r="UH2" s="127"/>
      <c r="UI2" s="127"/>
      <c r="UJ2" s="127"/>
      <c r="UK2" s="127"/>
      <c r="UL2" s="127"/>
      <c r="UM2" s="127"/>
      <c r="UN2" s="127"/>
      <c r="UO2" s="128"/>
    </row>
    <row r="3" spans="1:561" ht="19.5" customHeight="1" x14ac:dyDescent="0.2">
      <c r="A3" s="87"/>
      <c r="B3" s="131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2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3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30"/>
      <c r="C6" s="99">
        <v>77</v>
      </c>
      <c r="D6" s="117"/>
      <c r="E6" s="118"/>
      <c r="F6" s="119"/>
      <c r="G6" s="120"/>
      <c r="H6" s="118"/>
      <c r="I6" s="119"/>
      <c r="J6" s="120"/>
      <c r="K6" s="118"/>
      <c r="L6" s="119"/>
      <c r="M6" s="120"/>
      <c r="N6" s="118"/>
      <c r="O6" s="119"/>
      <c r="P6" s="120"/>
      <c r="Q6" s="118"/>
      <c r="R6" s="119"/>
      <c r="S6" s="120"/>
      <c r="T6" s="118"/>
      <c r="U6" s="119"/>
      <c r="V6" s="120"/>
      <c r="W6" s="118"/>
      <c r="X6" s="119"/>
      <c r="Y6" s="120"/>
      <c r="Z6" s="118"/>
      <c r="AA6" s="119"/>
      <c r="AB6" s="120"/>
      <c r="AC6" s="118"/>
      <c r="AD6" s="119"/>
      <c r="AE6" s="120"/>
      <c r="AF6" s="118"/>
      <c r="AG6" s="95"/>
      <c r="AH6" s="96"/>
      <c r="AI6" s="94"/>
      <c r="AJ6" s="95"/>
      <c r="AK6" s="120"/>
      <c r="AL6" s="118"/>
      <c r="AM6" s="119"/>
      <c r="AN6" s="120"/>
      <c r="AO6" s="118"/>
      <c r="AP6" s="119"/>
      <c r="AQ6" s="120"/>
      <c r="AR6" s="118"/>
      <c r="AS6" s="119"/>
      <c r="AT6" s="120"/>
      <c r="AU6" s="118"/>
      <c r="AV6" s="119"/>
      <c r="AW6" s="120"/>
      <c r="AX6" s="118"/>
      <c r="AY6" s="119"/>
      <c r="AZ6" s="96"/>
      <c r="BA6" s="94"/>
      <c r="BB6" s="95"/>
      <c r="BC6" s="120"/>
      <c r="BD6" s="118"/>
      <c r="BE6" s="119"/>
      <c r="BF6" s="120"/>
      <c r="BG6" s="118"/>
      <c r="BH6" s="119"/>
      <c r="BI6" s="120"/>
      <c r="BJ6" s="118"/>
      <c r="BK6" s="119"/>
      <c r="BL6" s="120"/>
      <c r="BM6" s="118"/>
      <c r="BN6" s="119"/>
      <c r="BO6" s="120"/>
      <c r="BP6" s="118"/>
      <c r="BQ6" s="119"/>
      <c r="BR6" s="120"/>
      <c r="BS6" s="118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117"/>
      <c r="CT6" s="118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120"/>
      <c r="DI6" s="118"/>
      <c r="DJ6" s="119"/>
      <c r="DK6" s="120"/>
      <c r="DL6" s="118"/>
      <c r="DM6" s="119"/>
      <c r="DN6" s="120"/>
      <c r="DO6" s="118"/>
      <c r="DP6" s="119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120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120"/>
      <c r="IH6" s="118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119"/>
      <c r="JN6" s="120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9" t="str">
        <f>Donnees!$C$22</f>
        <v>Documentation</v>
      </c>
      <c r="C7" s="98">
        <v>127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110"/>
      <c r="CH7" s="108"/>
      <c r="CI7" s="109"/>
      <c r="CJ7" s="110"/>
      <c r="CK7" s="108"/>
      <c r="CL7" s="109"/>
      <c r="CM7" s="110"/>
      <c r="CN7" s="108"/>
      <c r="CO7" s="109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09"/>
      <c r="GB7" s="110"/>
      <c r="GC7" s="108"/>
      <c r="GD7" s="109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109"/>
      <c r="IV7" s="110"/>
      <c r="IW7" s="108"/>
      <c r="IX7" s="109"/>
      <c r="IY7" s="110"/>
      <c r="IZ7" s="108"/>
      <c r="JA7" s="109"/>
      <c r="JB7" s="110"/>
      <c r="JC7" s="108"/>
      <c r="JD7" s="109"/>
      <c r="JE7" s="110"/>
      <c r="JF7" s="108"/>
      <c r="JG7" s="109"/>
      <c r="JH7" s="110"/>
      <c r="JI7" s="108"/>
      <c r="JJ7" s="109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110"/>
      <c r="KV7" s="108"/>
      <c r="KW7" s="109"/>
      <c r="KX7" s="110"/>
      <c r="KY7" s="108"/>
      <c r="KZ7" s="109"/>
      <c r="LA7" s="110"/>
      <c r="LB7" s="108"/>
      <c r="LC7" s="109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110"/>
      <c r="PC7" s="108"/>
      <c r="PD7" s="109"/>
      <c r="PE7" s="110"/>
      <c r="PF7" s="108"/>
      <c r="PG7" s="109"/>
      <c r="PH7" s="110"/>
      <c r="PI7" s="108"/>
      <c r="PJ7" s="109"/>
      <c r="PK7" s="110"/>
      <c r="PL7" s="108"/>
      <c r="PM7" s="109"/>
      <c r="PN7" s="110"/>
      <c r="PO7" s="108"/>
      <c r="PP7" s="109"/>
      <c r="PQ7" s="110"/>
      <c r="PR7" s="108"/>
      <c r="PS7" s="109"/>
      <c r="PT7" s="110"/>
      <c r="PU7" s="108"/>
      <c r="PV7" s="109"/>
      <c r="PW7" s="110"/>
      <c r="PX7" s="108"/>
      <c r="PY7" s="109"/>
      <c r="PZ7" s="110"/>
      <c r="QA7" s="108"/>
      <c r="QB7" s="109"/>
      <c r="QC7" s="110"/>
      <c r="QD7" s="108"/>
      <c r="QE7" s="109"/>
      <c r="QF7" s="110"/>
      <c r="QG7" s="108"/>
      <c r="QH7" s="109"/>
      <c r="QI7" s="110"/>
      <c r="QJ7" s="108"/>
      <c r="QK7" s="109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107"/>
      <c r="RB7" s="108"/>
      <c r="RC7" s="109"/>
      <c r="RD7" s="110"/>
      <c r="RE7" s="108"/>
      <c r="RF7" s="109"/>
      <c r="RG7" s="110"/>
      <c r="RH7" s="108"/>
      <c r="RI7" s="109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30"/>
      <c r="C8" s="99">
        <v>78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119"/>
      <c r="AH8" s="120"/>
      <c r="AI8" s="118"/>
      <c r="AJ8" s="119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120"/>
      <c r="BA8" s="118"/>
      <c r="BB8" s="119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119"/>
      <c r="BU8" s="120"/>
      <c r="BV8" s="118"/>
      <c r="BW8" s="119"/>
      <c r="BX8" s="120"/>
      <c r="BY8" s="118"/>
      <c r="BZ8" s="119"/>
      <c r="CA8" s="120"/>
      <c r="CB8" s="118"/>
      <c r="CC8" s="119"/>
      <c r="CD8" s="120"/>
      <c r="CE8" s="118"/>
      <c r="CF8" s="119"/>
      <c r="CG8" s="120"/>
      <c r="CH8" s="118"/>
      <c r="CI8" s="119"/>
      <c r="CJ8" s="120"/>
      <c r="CK8" s="118"/>
      <c r="CL8" s="119"/>
      <c r="CM8" s="120"/>
      <c r="CN8" s="118"/>
      <c r="CO8" s="119"/>
      <c r="CP8" s="120"/>
      <c r="CQ8" s="118"/>
      <c r="CR8" s="121"/>
      <c r="CS8" s="93"/>
      <c r="CT8" s="94"/>
      <c r="CU8" s="95"/>
      <c r="CV8" s="96"/>
      <c r="CW8" s="118"/>
      <c r="CX8" s="119"/>
      <c r="CY8" s="120"/>
      <c r="CZ8" s="118"/>
      <c r="DA8" s="119"/>
      <c r="DB8" s="120"/>
      <c r="DC8" s="118"/>
      <c r="DD8" s="119"/>
      <c r="DE8" s="120"/>
      <c r="DF8" s="118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120"/>
      <c r="DR8" s="118"/>
      <c r="DS8" s="119"/>
      <c r="DT8" s="120"/>
      <c r="DU8" s="118"/>
      <c r="DV8" s="119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120"/>
      <c r="FZ8" s="118"/>
      <c r="GA8" s="119"/>
      <c r="GB8" s="120"/>
      <c r="GC8" s="118"/>
      <c r="GD8" s="119"/>
      <c r="GE8" s="120"/>
      <c r="GF8" s="118"/>
      <c r="GG8" s="121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120"/>
      <c r="HM8" s="118"/>
      <c r="HN8" s="119"/>
      <c r="HO8" s="120"/>
      <c r="HP8" s="118"/>
      <c r="HQ8" s="119"/>
      <c r="HR8" s="120"/>
      <c r="HS8" s="118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120"/>
      <c r="JF8" s="118"/>
      <c r="JG8" s="119"/>
      <c r="JH8" s="120"/>
      <c r="JI8" s="118"/>
      <c r="JJ8" s="95"/>
      <c r="JK8" s="120"/>
      <c r="JL8" s="118"/>
      <c r="JM8" s="95"/>
      <c r="JN8" s="96"/>
      <c r="JO8" s="118"/>
      <c r="JP8" s="119"/>
      <c r="JQ8" s="120"/>
      <c r="JR8" s="118"/>
      <c r="JS8" s="119"/>
      <c r="JT8" s="120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9" t="str">
        <f>Donnees!$C$23</f>
        <v>Tests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110"/>
      <c r="OK9" s="108"/>
      <c r="OL9" s="109"/>
      <c r="OM9" s="110"/>
      <c r="ON9" s="108"/>
      <c r="OO9" s="109"/>
      <c r="OP9" s="110"/>
      <c r="OQ9" s="108"/>
      <c r="OR9" s="109"/>
      <c r="OS9" s="110"/>
      <c r="OT9" s="108"/>
      <c r="OU9" s="109"/>
      <c r="OV9" s="110"/>
      <c r="OW9" s="108"/>
      <c r="OX9" s="109"/>
      <c r="OY9" s="110"/>
      <c r="OZ9" s="108"/>
      <c r="PA9" s="109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30"/>
      <c r="C10" s="99">
        <v>2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120"/>
      <c r="IW10" s="118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9" t="str">
        <f>Donnees!$C$24</f>
        <v>Création : Interface</v>
      </c>
      <c r="C11" s="98">
        <v>27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09"/>
      <c r="DT11" s="110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30"/>
      <c r="C12" s="99">
        <v>10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120"/>
      <c r="DX12" s="118"/>
      <c r="DY12" s="119"/>
      <c r="DZ12" s="120"/>
      <c r="EA12" s="118"/>
      <c r="EB12" s="119"/>
      <c r="EC12" s="120"/>
      <c r="ED12" s="118"/>
      <c r="EE12" s="119"/>
      <c r="EF12" s="120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9" t="str">
        <f>Donnees!$C$25</f>
        <v>Création : Méthode conversion</v>
      </c>
      <c r="C13" s="98">
        <v>25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30"/>
      <c r="C14" s="99">
        <v>44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118"/>
      <c r="EH14" s="119"/>
      <c r="EI14" s="120"/>
      <c r="EJ14" s="118"/>
      <c r="EK14" s="119"/>
      <c r="EL14" s="120"/>
      <c r="EM14" s="118"/>
      <c r="EN14" s="119"/>
      <c r="EO14" s="120"/>
      <c r="EP14" s="118"/>
      <c r="EQ14" s="119"/>
      <c r="ER14" s="120"/>
      <c r="ES14" s="118"/>
      <c r="ET14" s="119"/>
      <c r="EU14" s="120"/>
      <c r="EV14" s="118"/>
      <c r="EW14" s="119"/>
      <c r="EX14" s="120"/>
      <c r="EY14" s="118"/>
      <c r="EZ14" s="119"/>
      <c r="FA14" s="120"/>
      <c r="FB14" s="118"/>
      <c r="FC14" s="119"/>
      <c r="FD14" s="120"/>
      <c r="FE14" s="118"/>
      <c r="FF14" s="119"/>
      <c r="FG14" s="120"/>
      <c r="FH14" s="118"/>
      <c r="FI14" s="119"/>
      <c r="FJ14" s="120"/>
      <c r="FK14" s="118"/>
      <c r="FL14" s="119"/>
      <c r="FM14" s="120"/>
      <c r="FN14" s="118"/>
      <c r="FO14" s="119"/>
      <c r="FP14" s="120"/>
      <c r="FQ14" s="118"/>
      <c r="FR14" s="119"/>
      <c r="FS14" s="120"/>
      <c r="FT14" s="118"/>
      <c r="FU14" s="119"/>
      <c r="FV14" s="120"/>
      <c r="FW14" s="118"/>
      <c r="FX14" s="119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9" t="str">
        <f>Donnees!$C$26</f>
        <v>Création : Méthode calcul</v>
      </c>
      <c r="C15" s="98">
        <v>25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107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09"/>
      <c r="HF15" s="110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30"/>
      <c r="C16" s="99">
        <v>49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117"/>
      <c r="GI16" s="118"/>
      <c r="GJ16" s="119"/>
      <c r="GK16" s="120"/>
      <c r="GL16" s="118"/>
      <c r="GM16" s="119"/>
      <c r="GN16" s="96"/>
      <c r="GO16" s="94"/>
      <c r="GP16" s="95"/>
      <c r="GQ16" s="120"/>
      <c r="GR16" s="118"/>
      <c r="GS16" s="95"/>
      <c r="GT16" s="120"/>
      <c r="GU16" s="118"/>
      <c r="GV16" s="119"/>
      <c r="GW16" s="120"/>
      <c r="GX16" s="118"/>
      <c r="GY16" s="119"/>
      <c r="GZ16" s="96"/>
      <c r="HA16" s="94"/>
      <c r="HB16" s="95"/>
      <c r="HC16" s="96"/>
      <c r="HD16" s="94"/>
      <c r="HE16" s="95"/>
      <c r="HF16" s="96"/>
      <c r="HG16" s="94"/>
      <c r="HH16" s="95"/>
      <c r="HI16" s="120"/>
      <c r="HJ16" s="118"/>
      <c r="HK16" s="119"/>
      <c r="HL16" s="96"/>
      <c r="HM16" s="94"/>
      <c r="HN16" s="95"/>
      <c r="HO16" s="96"/>
      <c r="HP16" s="94"/>
      <c r="HQ16" s="95"/>
      <c r="HR16" s="96"/>
      <c r="HS16" s="94"/>
      <c r="HT16" s="95"/>
      <c r="HU16" s="120"/>
      <c r="HV16" s="118"/>
      <c r="HW16" s="119"/>
      <c r="HX16" s="120"/>
      <c r="HY16" s="118"/>
      <c r="HZ16" s="119"/>
      <c r="IA16" s="120"/>
      <c r="IB16" s="118"/>
      <c r="IC16" s="119"/>
      <c r="ID16" s="120"/>
      <c r="IE16" s="118"/>
      <c r="IF16" s="119"/>
      <c r="IG16" s="96"/>
      <c r="IH16" s="94"/>
      <c r="II16" s="119"/>
      <c r="IJ16" s="120"/>
      <c r="IK16" s="118"/>
      <c r="IL16" s="119"/>
      <c r="IM16" s="120"/>
      <c r="IN16" s="118"/>
      <c r="IO16" s="119"/>
      <c r="IP16" s="120"/>
      <c r="IQ16" s="118"/>
      <c r="IR16" s="119"/>
      <c r="IS16" s="120"/>
      <c r="IT16" s="118"/>
      <c r="IU16" s="119"/>
      <c r="IV16" s="96"/>
      <c r="IW16" s="94"/>
      <c r="IX16" s="119"/>
      <c r="IY16" s="120"/>
      <c r="IZ16" s="118"/>
      <c r="JA16" s="119"/>
      <c r="JB16" s="120"/>
      <c r="JC16" s="118"/>
      <c r="JD16" s="119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9" t="str">
        <f>Donnees!$C$27</f>
        <v>Création : Méthode Affichage</v>
      </c>
      <c r="C17" s="98">
        <v>24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09"/>
      <c r="IJ17" s="110"/>
      <c r="IK17" s="108"/>
      <c r="IL17" s="109"/>
      <c r="IM17" s="110"/>
      <c r="IN17" s="108"/>
      <c r="IO17" s="109"/>
      <c r="IP17" s="110"/>
      <c r="IQ17" s="108"/>
      <c r="IR17" s="109"/>
      <c r="IS17" s="110"/>
      <c r="IT17" s="108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30"/>
      <c r="C18" s="99">
        <v>11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118"/>
      <c r="GP18" s="119"/>
      <c r="GQ18" s="96"/>
      <c r="GR18" s="94"/>
      <c r="GS18" s="95"/>
      <c r="GT18" s="96"/>
      <c r="GU18" s="94"/>
      <c r="GV18" s="95"/>
      <c r="GW18" s="96"/>
      <c r="GX18" s="94"/>
      <c r="GY18" s="95"/>
      <c r="GZ18" s="120"/>
      <c r="HA18" s="118"/>
      <c r="HB18" s="119"/>
      <c r="HC18" s="120"/>
      <c r="HD18" s="118"/>
      <c r="HE18" s="119"/>
      <c r="HF18" s="120"/>
      <c r="HG18" s="118"/>
      <c r="HH18" s="119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9" t="str">
        <f>Donnees!$C$28</f>
        <v>Création : débogage</v>
      </c>
      <c r="C19" s="98">
        <v>63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109"/>
      <c r="FJ19" s="110"/>
      <c r="FK19" s="108"/>
      <c r="FL19" s="109"/>
      <c r="FM19" s="110"/>
      <c r="FN19" s="108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110"/>
      <c r="JL19" s="108"/>
      <c r="JM19" s="109"/>
      <c r="JN19" s="110"/>
      <c r="JO19" s="108"/>
      <c r="JP19" s="109"/>
      <c r="JQ19" s="110"/>
      <c r="JR19" s="108"/>
      <c r="JS19" s="109"/>
      <c r="JT19" s="91"/>
      <c r="JU19" s="89"/>
      <c r="JV19" s="92"/>
      <c r="JW19" s="107"/>
      <c r="JX19" s="108"/>
      <c r="JY19" s="109"/>
      <c r="JZ19" s="110"/>
      <c r="KA19" s="108"/>
      <c r="KB19" s="109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107"/>
      <c r="NM19" s="108"/>
      <c r="NN19" s="109"/>
      <c r="NO19" s="110"/>
      <c r="NP19" s="108"/>
      <c r="NQ19" s="109"/>
      <c r="NR19" s="110"/>
      <c r="NS19" s="108"/>
      <c r="NT19" s="109"/>
      <c r="NU19" s="110"/>
      <c r="NV19" s="108"/>
      <c r="NW19" s="109"/>
      <c r="NX19" s="110"/>
      <c r="NY19" s="108"/>
      <c r="NZ19" s="109"/>
      <c r="OA19" s="110"/>
      <c r="OB19" s="108"/>
      <c r="OC19" s="109"/>
      <c r="OD19" s="110"/>
      <c r="OE19" s="108"/>
      <c r="OF19" s="109"/>
      <c r="OG19" s="110"/>
      <c r="OH19" s="108"/>
      <c r="OI19" s="109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30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9" t="str">
        <f>Donnees!$C$29</f>
        <v>Journal de travail</v>
      </c>
      <c r="C21" s="98">
        <v>18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110"/>
      <c r="CQ21" s="108"/>
      <c r="CR21" s="111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110"/>
      <c r="GF21" s="108"/>
      <c r="GG21" s="111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110"/>
      <c r="JU21" s="108"/>
      <c r="JV21" s="111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110"/>
      <c r="LH21" s="108"/>
      <c r="LI21" s="109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110"/>
      <c r="QM21" s="108"/>
      <c r="QN21" s="109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110"/>
      <c r="RK21" s="108"/>
      <c r="RL21" s="109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x14ac:dyDescent="0.2">
      <c r="B22" s="130"/>
      <c r="C22" s="99">
        <v>8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119"/>
      <c r="CV22" s="120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119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119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119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119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118"/>
      <c r="JV22" s="121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01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3"/>
      <c r="CS23" s="101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3"/>
      <c r="GH23" s="101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3"/>
      <c r="JW23" s="101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2"/>
      <c r="LA23" s="102"/>
      <c r="LB23" s="102"/>
      <c r="LC23" s="102"/>
      <c r="LD23" s="102"/>
      <c r="LE23" s="102"/>
      <c r="LF23" s="102"/>
      <c r="LG23" s="102"/>
      <c r="LH23" s="102"/>
      <c r="LI23" s="102"/>
      <c r="LJ23" s="102"/>
      <c r="LK23" s="102"/>
      <c r="LL23" s="102"/>
      <c r="LM23" s="102"/>
      <c r="LN23" s="102"/>
      <c r="LO23" s="102"/>
      <c r="LP23" s="102"/>
      <c r="LQ23" s="102"/>
      <c r="LR23" s="102"/>
      <c r="LS23" s="102"/>
      <c r="LT23" s="102"/>
      <c r="LU23" s="102"/>
      <c r="LV23" s="102"/>
      <c r="LW23" s="102"/>
      <c r="LX23" s="102"/>
      <c r="LY23" s="102"/>
      <c r="LZ23" s="102"/>
      <c r="MA23" s="102"/>
      <c r="MB23" s="102"/>
      <c r="MC23" s="102"/>
      <c r="MD23" s="102"/>
      <c r="ME23" s="102"/>
      <c r="MF23" s="102"/>
      <c r="MG23" s="102"/>
      <c r="MH23" s="102"/>
      <c r="MI23" s="102"/>
      <c r="MJ23" s="102"/>
      <c r="MK23" s="102"/>
      <c r="ML23" s="102"/>
      <c r="MM23" s="102"/>
      <c r="MN23" s="102"/>
      <c r="MO23" s="102"/>
      <c r="MP23" s="102"/>
      <c r="MQ23" s="102"/>
      <c r="MR23" s="102"/>
      <c r="MS23" s="102"/>
      <c r="MT23" s="102"/>
      <c r="MU23" s="102"/>
      <c r="MV23" s="102"/>
      <c r="MW23" s="102"/>
      <c r="MX23" s="102"/>
      <c r="MY23" s="102"/>
      <c r="MZ23" s="102"/>
      <c r="NA23" s="102"/>
      <c r="NB23" s="102"/>
      <c r="NC23" s="102"/>
      <c r="ND23" s="102"/>
      <c r="NE23" s="102"/>
      <c r="NF23" s="102"/>
      <c r="NG23" s="102"/>
      <c r="NH23" s="102"/>
      <c r="NI23" s="102"/>
      <c r="NJ23" s="102"/>
      <c r="NK23" s="103"/>
      <c r="NL23" s="101"/>
      <c r="NM23" s="102"/>
      <c r="NN23" s="102"/>
      <c r="NO23" s="102"/>
      <c r="NP23" s="102"/>
      <c r="NQ23" s="102"/>
      <c r="NR23" s="102"/>
      <c r="NS23" s="102"/>
      <c r="NT23" s="102"/>
      <c r="NU23" s="102"/>
      <c r="NV23" s="102"/>
      <c r="NW23" s="102"/>
      <c r="NX23" s="102"/>
      <c r="NY23" s="102"/>
      <c r="NZ23" s="102"/>
      <c r="OA23" s="102"/>
      <c r="OB23" s="102"/>
      <c r="OC23" s="102"/>
      <c r="OD23" s="102"/>
      <c r="OE23" s="102"/>
      <c r="OF23" s="102"/>
      <c r="OG23" s="102"/>
      <c r="OH23" s="102"/>
      <c r="OI23" s="102"/>
      <c r="OJ23" s="102"/>
      <c r="OK23" s="102"/>
      <c r="OL23" s="102"/>
      <c r="OM23" s="102"/>
      <c r="ON23" s="102"/>
      <c r="OO23" s="102"/>
      <c r="OP23" s="102"/>
      <c r="OQ23" s="102"/>
      <c r="OR23" s="102"/>
      <c r="OS23" s="102"/>
      <c r="OT23" s="102"/>
      <c r="OU23" s="102"/>
      <c r="OV23" s="102"/>
      <c r="OW23" s="102"/>
      <c r="OX23" s="102"/>
      <c r="OY23" s="102"/>
      <c r="OZ23" s="102"/>
      <c r="PA23" s="102"/>
      <c r="PB23" s="102"/>
      <c r="PC23" s="102"/>
      <c r="PD23" s="102"/>
      <c r="PE23" s="102"/>
      <c r="PF23" s="102"/>
      <c r="PG23" s="102"/>
      <c r="PH23" s="102"/>
      <c r="PI23" s="102"/>
      <c r="PJ23" s="102"/>
      <c r="PK23" s="102"/>
      <c r="PL23" s="102"/>
      <c r="PM23" s="102"/>
      <c r="PN23" s="102"/>
      <c r="PO23" s="102"/>
      <c r="PP23" s="102"/>
      <c r="PQ23" s="102"/>
      <c r="PR23" s="102"/>
      <c r="PS23" s="102"/>
      <c r="PT23" s="102"/>
      <c r="PU23" s="102"/>
      <c r="PV23" s="102"/>
      <c r="PW23" s="102"/>
      <c r="PX23" s="102"/>
      <c r="PY23" s="102"/>
      <c r="PZ23" s="102"/>
      <c r="QA23" s="102"/>
      <c r="QB23" s="102"/>
      <c r="QC23" s="102"/>
      <c r="QD23" s="102"/>
      <c r="QE23" s="102"/>
      <c r="QF23" s="102"/>
      <c r="QG23" s="102"/>
      <c r="QH23" s="102"/>
      <c r="QI23" s="102"/>
      <c r="QJ23" s="102"/>
      <c r="QK23" s="102"/>
      <c r="QL23" s="102"/>
      <c r="QM23" s="102"/>
      <c r="QN23" s="102"/>
      <c r="QO23" s="102"/>
      <c r="QP23" s="102"/>
      <c r="QQ23" s="102"/>
      <c r="QR23" s="102"/>
      <c r="QS23" s="102"/>
      <c r="QT23" s="102"/>
      <c r="QU23" s="102"/>
      <c r="QV23" s="102"/>
      <c r="QW23" s="102"/>
      <c r="QX23" s="102"/>
      <c r="QY23" s="102"/>
      <c r="QZ23" s="103"/>
      <c r="RA23" s="101"/>
      <c r="RB23" s="102"/>
      <c r="RC23" s="102"/>
      <c r="RD23" s="102"/>
      <c r="RE23" s="102"/>
      <c r="RF23" s="102"/>
      <c r="RG23" s="102"/>
      <c r="RH23" s="102"/>
      <c r="RI23" s="102"/>
      <c r="RJ23" s="102"/>
      <c r="RK23" s="102"/>
      <c r="RL23" s="102"/>
      <c r="RM23" s="102"/>
      <c r="RN23" s="102"/>
      <c r="RO23" s="102"/>
      <c r="RP23" s="102"/>
      <c r="RQ23" s="102"/>
      <c r="RR23" s="102"/>
      <c r="RS23" s="102"/>
      <c r="RT23" s="102"/>
      <c r="RU23" s="102"/>
      <c r="RV23" s="102"/>
      <c r="RW23" s="102"/>
      <c r="RX23" s="102"/>
      <c r="RY23" s="102"/>
      <c r="RZ23" s="102"/>
      <c r="SA23" s="102"/>
      <c r="SB23" s="102"/>
      <c r="SC23" s="102"/>
      <c r="SD23" s="102"/>
      <c r="SE23" s="102"/>
      <c r="SF23" s="102"/>
      <c r="SG23" s="102"/>
      <c r="SH23" s="102"/>
      <c r="SI23" s="102"/>
      <c r="SJ23" s="102"/>
      <c r="SK23" s="102"/>
      <c r="SL23" s="102"/>
      <c r="SM23" s="102"/>
      <c r="SN23" s="102"/>
      <c r="SO23" s="102"/>
      <c r="SP23" s="102"/>
      <c r="SQ23" s="102"/>
      <c r="SR23" s="102"/>
      <c r="SS23" s="102"/>
      <c r="ST23" s="102"/>
      <c r="SU23" s="102"/>
      <c r="SV23" s="102"/>
      <c r="SW23" s="102"/>
      <c r="SX23" s="102"/>
      <c r="SY23" s="102"/>
      <c r="SZ23" s="102"/>
      <c r="TA23" s="102"/>
      <c r="TB23" s="102"/>
      <c r="TC23" s="102"/>
      <c r="TD23" s="102"/>
      <c r="TE23" s="102"/>
      <c r="TF23" s="102"/>
      <c r="TG23" s="102"/>
      <c r="TH23" s="102"/>
      <c r="TI23" s="102"/>
      <c r="TJ23" s="102"/>
      <c r="TK23" s="102"/>
      <c r="TL23" s="102"/>
      <c r="TM23" s="102"/>
      <c r="TN23" s="102"/>
      <c r="TO23" s="102"/>
      <c r="TP23" s="102"/>
      <c r="TQ23" s="102"/>
      <c r="TR23" s="102"/>
      <c r="TS23" s="102"/>
      <c r="TT23" s="102"/>
      <c r="TU23" s="102"/>
      <c r="TV23" s="102"/>
      <c r="TW23" s="102"/>
      <c r="TX23" s="102"/>
      <c r="TY23" s="102"/>
      <c r="TZ23" s="102"/>
      <c r="UA23" s="102"/>
      <c r="UB23" s="102"/>
      <c r="UC23" s="102"/>
      <c r="UD23" s="102"/>
      <c r="UE23" s="102"/>
      <c r="UF23" s="102"/>
      <c r="UG23" s="102"/>
      <c r="UH23" s="102"/>
      <c r="UI23" s="102"/>
      <c r="UJ23" s="102"/>
      <c r="UK23" s="102"/>
      <c r="UL23" s="102"/>
      <c r="UM23" s="102"/>
      <c r="UN23" s="102"/>
      <c r="UO23" s="103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279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6"/>
      <c r="GH24" s="104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6"/>
      <c r="JW24" s="104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6"/>
      <c r="NL24" s="104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105"/>
      <c r="NX24" s="105"/>
      <c r="NY24" s="105"/>
      <c r="NZ24" s="105"/>
      <c r="OA24" s="105"/>
      <c r="OB24" s="105"/>
      <c r="OC24" s="105"/>
      <c r="OD24" s="105"/>
      <c r="OE24" s="105"/>
      <c r="OF24" s="105"/>
      <c r="OG24" s="105"/>
      <c r="OH24" s="105"/>
      <c r="OI24" s="105"/>
      <c r="OJ24" s="105"/>
      <c r="OK24" s="105"/>
      <c r="OL24" s="105"/>
      <c r="OM24" s="105"/>
      <c r="ON24" s="105"/>
      <c r="OO24" s="105"/>
      <c r="OP24" s="105"/>
      <c r="OQ24" s="105"/>
      <c r="OR24" s="105"/>
      <c r="OS24" s="105"/>
      <c r="OT24" s="105"/>
      <c r="OU24" s="105"/>
      <c r="OV24" s="105"/>
      <c r="OW24" s="105"/>
      <c r="OX24" s="105"/>
      <c r="OY24" s="105"/>
      <c r="OZ24" s="105"/>
      <c r="PA24" s="105"/>
      <c r="PB24" s="105"/>
      <c r="PC24" s="105"/>
      <c r="PD24" s="105"/>
      <c r="PE24" s="105"/>
      <c r="PF24" s="105"/>
      <c r="PG24" s="105"/>
      <c r="PH24" s="105"/>
      <c r="PI24" s="105"/>
      <c r="PJ24" s="105"/>
      <c r="PK24" s="105"/>
      <c r="PL24" s="105"/>
      <c r="PM24" s="105"/>
      <c r="PN24" s="105"/>
      <c r="PO24" s="105"/>
      <c r="PP24" s="105"/>
      <c r="PQ24" s="105"/>
      <c r="PR24" s="105"/>
      <c r="PS24" s="105"/>
      <c r="PT24" s="105"/>
      <c r="PU24" s="105"/>
      <c r="PV24" s="105"/>
      <c r="PW24" s="105"/>
      <c r="PX24" s="105"/>
      <c r="PY24" s="105"/>
      <c r="PZ24" s="105"/>
      <c r="QA24" s="105"/>
      <c r="QB24" s="105"/>
      <c r="QC24" s="105"/>
      <c r="QD24" s="105"/>
      <c r="QE24" s="105"/>
      <c r="QF24" s="105"/>
      <c r="QG24" s="105"/>
      <c r="QH24" s="105"/>
      <c r="QI24" s="105"/>
      <c r="QJ24" s="105"/>
      <c r="QK24" s="105"/>
      <c r="QL24" s="105"/>
      <c r="QM24" s="105"/>
      <c r="QN24" s="105"/>
      <c r="QO24" s="105"/>
      <c r="QP24" s="105"/>
      <c r="QQ24" s="105"/>
      <c r="QR24" s="105"/>
      <c r="QS24" s="105"/>
      <c r="QT24" s="105"/>
      <c r="QU24" s="105"/>
      <c r="QV24" s="105"/>
      <c r="QW24" s="105"/>
      <c r="QX24" s="105"/>
      <c r="QY24" s="105"/>
      <c r="QZ24" s="106"/>
      <c r="RA24" s="104"/>
      <c r="RB24" s="105"/>
      <c r="RC24" s="105"/>
      <c r="RD24" s="105"/>
      <c r="RE24" s="105"/>
      <c r="RF24" s="105"/>
      <c r="RG24" s="105"/>
      <c r="RH24" s="105"/>
      <c r="RI24" s="105"/>
      <c r="RJ24" s="105"/>
      <c r="RK24" s="105"/>
      <c r="RL24" s="105"/>
      <c r="RM24" s="105"/>
      <c r="RN24" s="105"/>
      <c r="RO24" s="105"/>
      <c r="RP24" s="105"/>
      <c r="RQ24" s="105"/>
      <c r="RR24" s="105"/>
      <c r="RS24" s="105"/>
      <c r="RT24" s="105"/>
      <c r="RU24" s="105"/>
      <c r="RV24" s="105"/>
      <c r="RW24" s="105"/>
      <c r="RX24" s="105"/>
      <c r="RY24" s="105"/>
      <c r="RZ24" s="105"/>
      <c r="SA24" s="105"/>
      <c r="SB24" s="105"/>
      <c r="SC24" s="105"/>
      <c r="SD24" s="105"/>
      <c r="SE24" s="105"/>
      <c r="SF24" s="105"/>
      <c r="SG24" s="105"/>
      <c r="SH24" s="105"/>
      <c r="SI24" s="105"/>
      <c r="SJ24" s="105"/>
      <c r="SK24" s="105"/>
      <c r="SL24" s="105"/>
      <c r="SM24" s="105"/>
      <c r="SN24" s="105"/>
      <c r="SO24" s="105"/>
      <c r="SP24" s="105"/>
      <c r="SQ24" s="105"/>
      <c r="SR24" s="105"/>
      <c r="SS24" s="105"/>
      <c r="ST24" s="105"/>
      <c r="SU24" s="105"/>
      <c r="SV24" s="105"/>
      <c r="SW24" s="105"/>
      <c r="SX24" s="105"/>
      <c r="SY24" s="105"/>
      <c r="SZ24" s="105"/>
      <c r="TA24" s="105"/>
      <c r="TB24" s="105"/>
      <c r="TC24" s="105"/>
      <c r="TD24" s="105"/>
      <c r="TE24" s="105"/>
      <c r="TF24" s="105"/>
      <c r="TG24" s="105"/>
      <c r="TH24" s="105"/>
      <c r="TI24" s="105"/>
      <c r="TJ24" s="105"/>
      <c r="TK24" s="105"/>
      <c r="TL24" s="105"/>
      <c r="TM24" s="105"/>
      <c r="TN24" s="105"/>
      <c r="TO24" s="105"/>
      <c r="TP24" s="105"/>
      <c r="TQ24" s="105"/>
      <c r="TR24" s="105"/>
      <c r="TS24" s="105"/>
      <c r="TT24" s="105"/>
      <c r="TU24" s="105"/>
      <c r="TV24" s="105"/>
      <c r="TW24" s="105"/>
      <c r="TX24" s="105"/>
      <c r="TY24" s="105"/>
      <c r="TZ24" s="105"/>
      <c r="UA24" s="105"/>
      <c r="UB24" s="105"/>
      <c r="UC24" s="105"/>
      <c r="UD24" s="105"/>
      <c r="UE24" s="105"/>
      <c r="UF24" s="105"/>
      <c r="UG24" s="105"/>
      <c r="UH24" s="105"/>
      <c r="UI24" s="105"/>
      <c r="UJ24" s="105"/>
      <c r="UK24" s="105"/>
      <c r="UL24" s="105"/>
      <c r="UM24" s="105"/>
      <c r="UN24" s="105"/>
      <c r="UO24" s="106"/>
    </row>
  </sheetData>
  <sheetProtection sheet="1" objects="1" scenarios="1" insertRows="0" selectLockedCells="1"/>
  <mergeCells count="16"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  <mergeCell ref="GH2:JV2"/>
    <mergeCell ref="JW2:NK2"/>
    <mergeCell ref="NL2:QZ2"/>
    <mergeCell ref="RA2:UO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1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16" zoomScaleNormal="100" zoomScaleSheetLayoutView="100" workbookViewId="0">
      <selection activeCell="C49" sqref="C4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7"/>
  <sheetViews>
    <sheetView tabSelected="1" topLeftCell="D1" zoomScaleNormal="100" zoomScaleSheetLayoutView="100" workbookViewId="0">
      <selection activeCell="D72" sqref="D7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123" t="s">
        <v>125</v>
      </c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123" t="s">
        <v>126</v>
      </c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123" t="s">
        <v>128</v>
      </c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" x14ac:dyDescent="0.2">
      <c r="A43" s="79" t="s">
        <v>29</v>
      </c>
      <c r="B43" s="79">
        <v>9</v>
      </c>
      <c r="C43" s="80" t="s">
        <v>124</v>
      </c>
      <c r="D43" s="123" t="s">
        <v>127</v>
      </c>
      <c r="E43" s="37"/>
      <c r="F43" s="61"/>
      <c r="G43" s="62"/>
      <c r="H43" s="62"/>
      <c r="I43" s="37"/>
    </row>
    <row r="44" spans="1:9" ht="15" thickBot="1" x14ac:dyDescent="0.35">
      <c r="A44" s="7"/>
      <c r="B44" s="7"/>
      <c r="C44" s="15"/>
      <c r="D44" s="15"/>
      <c r="E44" s="37"/>
      <c r="F44" s="63"/>
      <c r="G44" s="63"/>
      <c r="H44" s="63"/>
      <c r="I44" s="37"/>
    </row>
    <row r="45" spans="1:9" ht="14.25" thickBot="1" x14ac:dyDescent="0.25">
      <c r="A45" s="76" t="s">
        <v>22</v>
      </c>
      <c r="B45" s="76">
        <f>SUM(B23:B44)</f>
        <v>93</v>
      </c>
      <c r="C45" s="112" t="s">
        <v>37</v>
      </c>
      <c r="D45" s="77"/>
      <c r="E45" s="37"/>
      <c r="F45" s="37"/>
      <c r="G45" s="37"/>
      <c r="H45" s="37"/>
      <c r="I45" s="37"/>
    </row>
    <row r="46" spans="1:9" ht="15" thickBot="1" x14ac:dyDescent="0.35">
      <c r="A46" s="78"/>
      <c r="B46" s="78"/>
      <c r="C46" s="78"/>
      <c r="D46" s="78"/>
      <c r="E46" s="37"/>
      <c r="F46" s="37"/>
      <c r="G46" s="37"/>
      <c r="H46" s="37"/>
      <c r="I46" s="37"/>
    </row>
    <row r="47" spans="1:9" ht="18.75" thickBot="1" x14ac:dyDescent="0.25">
      <c r="A47" s="71" t="s">
        <v>14</v>
      </c>
      <c r="B47" s="72">
        <v>3</v>
      </c>
      <c r="C47" s="73" t="s">
        <v>23</v>
      </c>
      <c r="D47" s="82">
        <v>42870</v>
      </c>
      <c r="E47" s="37"/>
      <c r="F47" s="37"/>
      <c r="G47" s="37"/>
      <c r="H47" s="37"/>
      <c r="I47" s="37"/>
    </row>
    <row r="48" spans="1:9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27" x14ac:dyDescent="0.2">
      <c r="A49" s="9" t="s">
        <v>33</v>
      </c>
      <c r="B49" s="8">
        <v>6</v>
      </c>
      <c r="C49" s="13" t="s">
        <v>129</v>
      </c>
      <c r="D49" s="135" t="s">
        <v>157</v>
      </c>
    </row>
    <row r="50" spans="1:4" ht="54" x14ac:dyDescent="0.2">
      <c r="A50" s="5" t="s">
        <v>28</v>
      </c>
      <c r="B50" s="6">
        <v>1</v>
      </c>
      <c r="C50" s="14" t="s">
        <v>130</v>
      </c>
      <c r="D50" s="14"/>
    </row>
    <row r="51" spans="1:4" ht="27" x14ac:dyDescent="0.2">
      <c r="A51" s="5" t="s">
        <v>34</v>
      </c>
      <c r="B51" s="6">
        <v>2</v>
      </c>
      <c r="C51" s="14" t="s">
        <v>131</v>
      </c>
      <c r="D51" s="14"/>
    </row>
    <row r="52" spans="1:4" ht="27" x14ac:dyDescent="0.2">
      <c r="A52" s="5" t="s">
        <v>33</v>
      </c>
      <c r="B52" s="6">
        <v>2</v>
      </c>
      <c r="C52" s="14" t="s">
        <v>132</v>
      </c>
      <c r="D52" s="14"/>
    </row>
    <row r="53" spans="1:4" ht="14.25" thickBot="1" x14ac:dyDescent="0.25">
      <c r="A53" s="5" t="s">
        <v>36</v>
      </c>
      <c r="B53" s="6">
        <v>1</v>
      </c>
      <c r="C53" s="14" t="s">
        <v>133</v>
      </c>
      <c r="D53" s="14"/>
    </row>
    <row r="54" spans="1:4" ht="27" x14ac:dyDescent="0.2">
      <c r="A54" s="5" t="s">
        <v>33</v>
      </c>
      <c r="B54" s="6">
        <v>6</v>
      </c>
      <c r="C54" s="14" t="s">
        <v>140</v>
      </c>
      <c r="D54" s="135" t="s">
        <v>158</v>
      </c>
    </row>
    <row r="55" spans="1:4" ht="27" x14ac:dyDescent="0.2">
      <c r="A55" s="5" t="s">
        <v>34</v>
      </c>
      <c r="B55" s="6">
        <v>6</v>
      </c>
      <c r="C55" s="14" t="s">
        <v>134</v>
      </c>
      <c r="D55" s="14"/>
    </row>
    <row r="56" spans="1:4" ht="27.75" thickBot="1" x14ac:dyDescent="0.25">
      <c r="A56" s="5" t="s">
        <v>34</v>
      </c>
      <c r="B56" s="6">
        <v>3</v>
      </c>
      <c r="C56" s="14" t="s">
        <v>135</v>
      </c>
      <c r="D56" s="14"/>
    </row>
    <row r="57" spans="1:4" ht="67.5" x14ac:dyDescent="0.2">
      <c r="A57" s="5" t="s">
        <v>33</v>
      </c>
      <c r="B57" s="6">
        <v>3</v>
      </c>
      <c r="C57" s="14" t="s">
        <v>137</v>
      </c>
      <c r="D57" s="135" t="s">
        <v>159</v>
      </c>
    </row>
    <row r="58" spans="1:4" ht="94.5" x14ac:dyDescent="0.2">
      <c r="A58" s="6" t="s">
        <v>29</v>
      </c>
      <c r="B58" s="6">
        <v>8</v>
      </c>
      <c r="C58" s="14" t="s">
        <v>138</v>
      </c>
      <c r="D58" s="122" t="s">
        <v>139</v>
      </c>
    </row>
    <row r="59" spans="1:4" ht="13.5" x14ac:dyDescent="0.2">
      <c r="A59" s="6" t="s">
        <v>36</v>
      </c>
      <c r="B59" s="6">
        <v>1</v>
      </c>
      <c r="C59" s="14" t="s">
        <v>136</v>
      </c>
      <c r="D59" s="14"/>
    </row>
    <row r="60" spans="1:4" ht="27.75" thickBot="1" x14ac:dyDescent="0.25">
      <c r="A60" s="6" t="s">
        <v>33</v>
      </c>
      <c r="B60" s="6">
        <v>6</v>
      </c>
      <c r="C60" s="14" t="s">
        <v>141</v>
      </c>
      <c r="D60" s="14"/>
    </row>
    <row r="61" spans="1:4" ht="27" x14ac:dyDescent="0.2">
      <c r="A61" s="6" t="s">
        <v>33</v>
      </c>
      <c r="B61" s="6">
        <v>6</v>
      </c>
      <c r="C61" s="14" t="s">
        <v>142</v>
      </c>
      <c r="D61" s="135" t="s">
        <v>160</v>
      </c>
    </row>
    <row r="62" spans="1:4" ht="27" x14ac:dyDescent="0.2">
      <c r="A62" s="79" t="s">
        <v>28</v>
      </c>
      <c r="B62" s="79">
        <v>2</v>
      </c>
      <c r="C62" s="80" t="s">
        <v>143</v>
      </c>
      <c r="D62" s="80"/>
    </row>
    <row r="63" spans="1:4" ht="27" x14ac:dyDescent="0.2">
      <c r="A63" s="79" t="s">
        <v>33</v>
      </c>
      <c r="B63" s="79">
        <v>13</v>
      </c>
      <c r="C63" s="80" t="s">
        <v>144</v>
      </c>
      <c r="D63" s="80"/>
    </row>
    <row r="64" spans="1:4" ht="13.5" x14ac:dyDescent="0.2">
      <c r="A64" s="79" t="s">
        <v>30</v>
      </c>
      <c r="B64" s="79">
        <v>2</v>
      </c>
      <c r="C64" s="80" t="s">
        <v>145</v>
      </c>
      <c r="D64" s="123" t="s">
        <v>146</v>
      </c>
    </row>
    <row r="65" spans="1:4" ht="27.75" thickBot="1" x14ac:dyDescent="0.25">
      <c r="A65" s="79" t="s">
        <v>33</v>
      </c>
      <c r="B65" s="79">
        <v>2</v>
      </c>
      <c r="C65" s="80" t="s">
        <v>148</v>
      </c>
      <c r="D65" s="80"/>
    </row>
    <row r="66" spans="1:4" ht="27" x14ac:dyDescent="0.2">
      <c r="A66" s="79" t="s">
        <v>33</v>
      </c>
      <c r="B66" s="79">
        <v>2</v>
      </c>
      <c r="C66" s="80" t="s">
        <v>147</v>
      </c>
      <c r="D66" s="135" t="s">
        <v>161</v>
      </c>
    </row>
    <row r="67" spans="1:4" ht="41.25" thickBot="1" x14ac:dyDescent="0.25">
      <c r="A67" s="79" t="s">
        <v>33</v>
      </c>
      <c r="B67" s="79">
        <v>3</v>
      </c>
      <c r="C67" s="80" t="s">
        <v>153</v>
      </c>
      <c r="D67" s="80"/>
    </row>
    <row r="68" spans="1:4" ht="27" x14ac:dyDescent="0.2">
      <c r="A68" s="79" t="s">
        <v>29</v>
      </c>
      <c r="B68" s="79">
        <v>5</v>
      </c>
      <c r="C68" s="80" t="s">
        <v>154</v>
      </c>
      <c r="D68" s="135"/>
    </row>
    <row r="69" spans="1:4" ht="13.5" x14ac:dyDescent="0.2">
      <c r="A69" s="79" t="s">
        <v>36</v>
      </c>
      <c r="B69" s="79">
        <v>1</v>
      </c>
      <c r="C69" s="80" t="s">
        <v>151</v>
      </c>
      <c r="D69" s="80"/>
    </row>
    <row r="70" spans="1:4" ht="13.5" x14ac:dyDescent="0.2">
      <c r="A70" s="79" t="s">
        <v>29</v>
      </c>
      <c r="B70" s="79">
        <v>2</v>
      </c>
      <c r="C70" s="80" t="s">
        <v>149</v>
      </c>
      <c r="D70" s="123" t="s">
        <v>162</v>
      </c>
    </row>
    <row r="71" spans="1:4" ht="40.5" x14ac:dyDescent="0.2">
      <c r="A71" s="79" t="s">
        <v>28</v>
      </c>
      <c r="B71" s="79">
        <v>2</v>
      </c>
      <c r="C71" s="80" t="s">
        <v>150</v>
      </c>
      <c r="D71" s="80"/>
    </row>
    <row r="72" spans="1:4" ht="27" x14ac:dyDescent="0.2">
      <c r="A72" s="79" t="s">
        <v>29</v>
      </c>
      <c r="B72" s="79">
        <v>2</v>
      </c>
      <c r="C72" s="80" t="s">
        <v>155</v>
      </c>
      <c r="D72" s="123" t="s">
        <v>162</v>
      </c>
    </row>
    <row r="73" spans="1:4" ht="27" x14ac:dyDescent="0.2">
      <c r="A73" s="79" t="s">
        <v>29</v>
      </c>
      <c r="B73" s="79">
        <v>4</v>
      </c>
      <c r="C73" s="80" t="s">
        <v>156</v>
      </c>
      <c r="D73" s="123" t="s">
        <v>162</v>
      </c>
    </row>
    <row r="74" spans="1:4" ht="13.5" x14ac:dyDescent="0.2">
      <c r="A74" s="79" t="s">
        <v>36</v>
      </c>
      <c r="B74" s="79">
        <v>2</v>
      </c>
      <c r="C74" s="80" t="s">
        <v>152</v>
      </c>
      <c r="D74" s="80"/>
    </row>
    <row r="75" spans="1:4" ht="13.5" x14ac:dyDescent="0.2">
      <c r="A75" s="79"/>
      <c r="B75" s="79"/>
      <c r="C75" s="80"/>
      <c r="D75" s="80"/>
    </row>
    <row r="76" spans="1:4" ht="13.5" x14ac:dyDescent="0.2">
      <c r="A76" s="79"/>
      <c r="B76" s="79"/>
      <c r="C76" s="80"/>
      <c r="D76" s="80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76" t="s">
        <v>22</v>
      </c>
      <c r="B78" s="76">
        <f>SUM(B49:B77)</f>
        <v>93</v>
      </c>
      <c r="C78" s="112" t="s">
        <v>37</v>
      </c>
      <c r="D78" s="77"/>
    </row>
    <row r="79" spans="1:4" ht="15" thickBot="1" x14ac:dyDescent="0.35">
      <c r="A79" s="78"/>
      <c r="B79" s="78"/>
      <c r="C79" s="78"/>
      <c r="D79" s="78"/>
    </row>
    <row r="80" spans="1:4" ht="18.75" thickBot="1" x14ac:dyDescent="0.25">
      <c r="A80" s="71" t="s">
        <v>14</v>
      </c>
      <c r="B80" s="72">
        <v>4</v>
      </c>
      <c r="C80" s="73" t="s">
        <v>23</v>
      </c>
      <c r="D80" s="82">
        <v>42877</v>
      </c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/>
      <c r="B82" s="8"/>
      <c r="C82" s="13"/>
      <c r="D82" s="13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6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0</v>
      </c>
      <c r="C97" s="112" t="s">
        <v>37</v>
      </c>
      <c r="D97" s="77"/>
    </row>
    <row r="98" spans="1:4" ht="15" thickBot="1" x14ac:dyDescent="0.35">
      <c r="A98" s="78"/>
      <c r="B98" s="78"/>
      <c r="C98" s="78"/>
      <c r="D98" s="78"/>
    </row>
    <row r="99" spans="1:4" ht="18.75" thickBot="1" x14ac:dyDescent="0.25">
      <c r="A99" s="71" t="s">
        <v>14</v>
      </c>
      <c r="B99" s="72">
        <v>5</v>
      </c>
      <c r="C99" s="73" t="s">
        <v>23</v>
      </c>
      <c r="D99" s="82">
        <v>42884</v>
      </c>
    </row>
    <row r="100" spans="1:4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4" ht="13.5" x14ac:dyDescent="0.2">
      <c r="A101" s="9"/>
      <c r="B101" s="8"/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79"/>
      <c r="B113" s="79"/>
      <c r="C113" s="80"/>
      <c r="D113" s="80"/>
    </row>
    <row r="114" spans="1:4" ht="13.5" x14ac:dyDescent="0.2">
      <c r="A114" s="79"/>
      <c r="B114" s="79"/>
      <c r="C114" s="80"/>
      <c r="D114" s="80"/>
    </row>
    <row r="115" spans="1:4" ht="14.25" thickBot="1" x14ac:dyDescent="0.25">
      <c r="A115" s="7"/>
      <c r="B115" s="7"/>
      <c r="C115" s="15"/>
      <c r="D115" s="15"/>
    </row>
    <row r="116" spans="1:4" ht="14.25" thickBot="1" x14ac:dyDescent="0.25">
      <c r="A116" s="76" t="s">
        <v>22</v>
      </c>
      <c r="B116" s="76">
        <f>SUM(B101:B115)</f>
        <v>0</v>
      </c>
      <c r="C116" s="112" t="s">
        <v>37</v>
      </c>
      <c r="D116" s="77"/>
    </row>
    <row r="117" spans="1:4" ht="15" thickBot="1" x14ac:dyDescent="0.35">
      <c r="A117" s="78"/>
      <c r="B117" s="78"/>
      <c r="C117" s="78"/>
      <c r="D117" s="78"/>
    </row>
    <row r="118" spans="1:4" ht="18.75" thickBot="1" x14ac:dyDescent="0.25">
      <c r="A118" s="71" t="s">
        <v>14</v>
      </c>
      <c r="B118" s="72">
        <v>6</v>
      </c>
      <c r="C118" s="73" t="s">
        <v>23</v>
      </c>
      <c r="D118" s="82">
        <v>42891</v>
      </c>
    </row>
    <row r="119" spans="1:4" ht="27.75" thickBot="1" x14ac:dyDescent="0.25">
      <c r="A119" s="74" t="s">
        <v>3</v>
      </c>
      <c r="B119" s="75" t="s">
        <v>15</v>
      </c>
      <c r="C119" s="74" t="s">
        <v>7</v>
      </c>
      <c r="D119" s="74" t="s">
        <v>13</v>
      </c>
    </row>
    <row r="120" spans="1:4" ht="13.5" x14ac:dyDescent="0.2">
      <c r="A120" s="9"/>
      <c r="B120" s="8"/>
      <c r="C120" s="13"/>
      <c r="D120" s="13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6"/>
      <c r="B129" s="6"/>
      <c r="C129" s="14"/>
      <c r="D129" s="14"/>
    </row>
    <row r="130" spans="1:4" ht="13.5" x14ac:dyDescent="0.2">
      <c r="A130" s="6"/>
      <c r="B130" s="6"/>
      <c r="C130" s="14"/>
      <c r="D130" s="14"/>
    </row>
    <row r="131" spans="1:4" ht="13.5" x14ac:dyDescent="0.2">
      <c r="A131" s="6"/>
      <c r="B131" s="6"/>
      <c r="C131" s="14"/>
      <c r="D131" s="14"/>
    </row>
    <row r="132" spans="1:4" ht="13.5" x14ac:dyDescent="0.2">
      <c r="A132" s="79"/>
      <c r="B132" s="79"/>
      <c r="C132" s="80"/>
      <c r="D132" s="80"/>
    </row>
    <row r="133" spans="1:4" ht="13.5" x14ac:dyDescent="0.2">
      <c r="A133" s="79"/>
      <c r="B133" s="79"/>
      <c r="C133" s="80"/>
      <c r="D133" s="80"/>
    </row>
    <row r="134" spans="1:4" ht="14.25" thickBot="1" x14ac:dyDescent="0.25">
      <c r="A134" s="7"/>
      <c r="B134" s="7"/>
      <c r="C134" s="15"/>
      <c r="D134" s="15"/>
    </row>
    <row r="135" spans="1:4" ht="14.25" thickBot="1" x14ac:dyDescent="0.25">
      <c r="A135" s="76" t="s">
        <v>22</v>
      </c>
      <c r="B135" s="76">
        <f>SUM(B120:B134)</f>
        <v>0</v>
      </c>
      <c r="C135" s="112" t="s">
        <v>37</v>
      </c>
      <c r="D135" s="77"/>
    </row>
    <row r="136" spans="1:4" ht="14.25" x14ac:dyDescent="0.3">
      <c r="A136" s="78"/>
      <c r="B136" s="78"/>
      <c r="C136" s="78"/>
      <c r="D136" s="78"/>
    </row>
    <row r="137" spans="1:4" x14ac:dyDescent="0.2">
      <c r="A137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4 B120:B134 B82:B96 B101:B115 B49:B7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5 B78 B97 B116 B135">
      <formula1>0</formula1>
      <formula2>NbPerWeek * NbQuartPer</formula2>
    </dataValidation>
    <dataValidation type="list" allowBlank="1" showInputMessage="1" showErrorMessage="1" sqref="A3:A18 A23:A44 A120:A134 A82:A96 A101:A115 A49:A77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  <hyperlink ref="D39" r:id="rId16"/>
    <hyperlink ref="D40" r:id="rId17" display="Form Converter.cs : Ligne 100"/>
    <hyperlink ref="D43" r:id="rId18"/>
    <hyperlink ref="D41" r:id="rId19" display="Form Converter.cs : Ligne 100"/>
    <hyperlink ref="D49" r:id="rId20"/>
    <hyperlink ref="D54" r:id="rId21" display="Form Calculator ligne 27"/>
    <hyperlink ref="D57" r:id="rId22" display="Form Calculator ligne 27"/>
    <hyperlink ref="D61" r:id="rId23" display="Form Calculator ligne 27"/>
    <hyperlink ref="D66" r:id="rId24" display="Form Calculator ligne 27"/>
    <hyperlink ref="D64" r:id="rId25"/>
    <hyperlink ref="D58" r:id="rId26"/>
    <hyperlink ref="D70" r:id="rId27"/>
    <hyperlink ref="D73" r:id="rId28"/>
    <hyperlink ref="D72" r:id="rId29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0"/>
  <headerFooter>
    <oddHeader>&amp;L&amp;"ETML L,Normal"&amp;24ETML</oddHeader>
    <oddFooter>&amp;C&amp;F&amp;L&amp;D</oddFooter>
  </headerFooter>
  <drawing r:id="rId31"/>
  <legacyDrawing r:id="rId32"/>
  <controls>
    <mc:AlternateContent xmlns:mc="http://schemas.openxmlformats.org/markup-compatibility/2006">
      <mc:Choice Requires="x14">
        <control shapeId="44033" r:id="rId33" name="btnImportRealisation">
          <controlPr defaultSize="0" autoLine="0" autoPict="0" r:id="rId3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3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2017-05-19T14:30:12Z</dcterms:modified>
  <cp:contentStatus>Version 8.0</cp:contentStatus>
</cp:coreProperties>
</file>