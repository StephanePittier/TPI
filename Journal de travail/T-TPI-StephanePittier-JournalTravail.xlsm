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Diagramme!$A$1:$UP$25</definedName>
    <definedName name="_xlnm.Print_Area" localSheetId="0">Donnees!$A$1:$G$54</definedName>
    <definedName name="_xlnm.Print_Area" localSheetId="7">JNLTRAV!$A$1:$D$122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1" i="157" l="1"/>
  <c r="B102" i="157"/>
  <c r="B83" i="157"/>
  <c r="B64" i="157"/>
  <c r="B45" i="157"/>
  <c r="B19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<sst xmlns="http://schemas.openxmlformats.org/spreadsheetml/2006/main" count="299" uniqueCount="125">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</sst>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vmlDrawing" Target="../drawings/vmlDrawing5.vml"/><Relationship Id="rId3" Type="http://schemas.openxmlformats.org/officeDocument/2006/relationships/hyperlink" Target="..\Documentation\R-RapportTpi.docx" TargetMode="Externa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printerSettings" Target="../printerSettings/printerSettings5.bin"/><Relationship Id="rId20" Type="http://schemas.openxmlformats.org/officeDocument/2006/relationships/image" Target="../media/image7.emf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control" Target="../activeX/activeX7.xm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view="pageBreakPreview" topLeftCell="HI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8" t="s">
        <v>60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30"/>
      <c r="CS2" s="128" t="s">
        <v>61</v>
      </c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30"/>
      <c r="GH2" s="128" t="s">
        <v>62</v>
      </c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30"/>
      <c r="JW2" s="128" t="s">
        <v>63</v>
      </c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30"/>
      <c r="NL2" s="128" t="s">
        <v>64</v>
      </c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30"/>
      <c r="RA2" s="128" t="s">
        <v>65</v>
      </c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30"/>
    </row>
    <row r="3" spans="1:561" ht="19.5" customHeight="1" x14ac:dyDescent="0.2">
      <c r="A3" s="87"/>
      <c r="B3" s="131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3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7"/>
      <c r="C6" s="99">
        <v>72</v>
      </c>
      <c r="D6" s="117"/>
      <c r="E6" s="118"/>
      <c r="F6" s="119"/>
      <c r="G6" s="120"/>
      <c r="H6" s="118"/>
      <c r="I6" s="119"/>
      <c r="J6" s="120"/>
      <c r="K6" s="118"/>
      <c r="L6" s="119"/>
      <c r="M6" s="120"/>
      <c r="N6" s="118"/>
      <c r="O6" s="119"/>
      <c r="P6" s="120"/>
      <c r="Q6" s="118"/>
      <c r="R6" s="119"/>
      <c r="S6" s="120"/>
      <c r="T6" s="118"/>
      <c r="U6" s="119"/>
      <c r="V6" s="120"/>
      <c r="W6" s="118"/>
      <c r="X6" s="119"/>
      <c r="Y6" s="120"/>
      <c r="Z6" s="118"/>
      <c r="AA6" s="119"/>
      <c r="AB6" s="120"/>
      <c r="AC6" s="118"/>
      <c r="AD6" s="119"/>
      <c r="AE6" s="120"/>
      <c r="AF6" s="118"/>
      <c r="AG6" s="95"/>
      <c r="AH6" s="96"/>
      <c r="AI6" s="94"/>
      <c r="AJ6" s="95"/>
      <c r="AK6" s="120"/>
      <c r="AL6" s="118"/>
      <c r="AM6" s="119"/>
      <c r="AN6" s="120"/>
      <c r="AO6" s="118"/>
      <c r="AP6" s="119"/>
      <c r="AQ6" s="120"/>
      <c r="AR6" s="118"/>
      <c r="AS6" s="119"/>
      <c r="AT6" s="120"/>
      <c r="AU6" s="118"/>
      <c r="AV6" s="119"/>
      <c r="AW6" s="120"/>
      <c r="AX6" s="118"/>
      <c r="AY6" s="119"/>
      <c r="AZ6" s="96"/>
      <c r="BA6" s="94"/>
      <c r="BB6" s="95"/>
      <c r="BC6" s="120"/>
      <c r="BD6" s="118"/>
      <c r="BE6" s="119"/>
      <c r="BF6" s="120"/>
      <c r="BG6" s="118"/>
      <c r="BH6" s="119"/>
      <c r="BI6" s="120"/>
      <c r="BJ6" s="118"/>
      <c r="BK6" s="119"/>
      <c r="BL6" s="120"/>
      <c r="BM6" s="118"/>
      <c r="BN6" s="119"/>
      <c r="BO6" s="120"/>
      <c r="BP6" s="118"/>
      <c r="BQ6" s="119"/>
      <c r="BR6" s="120"/>
      <c r="BS6" s="118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117"/>
      <c r="CT6" s="118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120"/>
      <c r="DI6" s="118"/>
      <c r="DJ6" s="119"/>
      <c r="DK6" s="120"/>
      <c r="DL6" s="118"/>
      <c r="DM6" s="119"/>
      <c r="DN6" s="120"/>
      <c r="DO6" s="118"/>
      <c r="DP6" s="119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6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7"/>
      <c r="C8" s="99">
        <v>48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19"/>
      <c r="AH8" s="120"/>
      <c r="AI8" s="118"/>
      <c r="AJ8" s="119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20"/>
      <c r="BA8" s="118"/>
      <c r="BB8" s="119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119"/>
      <c r="BU8" s="120"/>
      <c r="BV8" s="118"/>
      <c r="BW8" s="119"/>
      <c r="BX8" s="120"/>
      <c r="BY8" s="118"/>
      <c r="BZ8" s="119"/>
      <c r="CA8" s="120"/>
      <c r="CB8" s="118"/>
      <c r="CC8" s="119"/>
      <c r="CD8" s="120"/>
      <c r="CE8" s="118"/>
      <c r="CF8" s="119"/>
      <c r="CG8" s="120"/>
      <c r="CH8" s="118"/>
      <c r="CI8" s="119"/>
      <c r="CJ8" s="120"/>
      <c r="CK8" s="118"/>
      <c r="CL8" s="119"/>
      <c r="CM8" s="120"/>
      <c r="CN8" s="118"/>
      <c r="CO8" s="119"/>
      <c r="CP8" s="120"/>
      <c r="CQ8" s="118"/>
      <c r="CR8" s="121"/>
      <c r="CS8" s="93"/>
      <c r="CT8" s="94"/>
      <c r="CU8" s="95"/>
      <c r="CV8" s="96"/>
      <c r="CW8" s="118"/>
      <c r="CX8" s="119"/>
      <c r="CY8" s="120"/>
      <c r="CZ8" s="118"/>
      <c r="DA8" s="119"/>
      <c r="DB8" s="120"/>
      <c r="DC8" s="118"/>
      <c r="DD8" s="119"/>
      <c r="DE8" s="120"/>
      <c r="DF8" s="118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120"/>
      <c r="DR8" s="118"/>
      <c r="DS8" s="119"/>
      <c r="DT8" s="120"/>
      <c r="DU8" s="118"/>
      <c r="DV8" s="119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6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7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6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7"/>
      <c r="C12" s="99">
        <v>10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120"/>
      <c r="DX12" s="118"/>
      <c r="DY12" s="119"/>
      <c r="DZ12" s="120"/>
      <c r="EA12" s="118"/>
      <c r="EB12" s="119"/>
      <c r="EC12" s="120"/>
      <c r="ED12" s="118"/>
      <c r="EE12" s="119"/>
      <c r="EF12" s="120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6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7"/>
      <c r="C14" s="99">
        <v>41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118"/>
      <c r="EH14" s="119"/>
      <c r="EI14" s="120"/>
      <c r="EJ14" s="118"/>
      <c r="EK14" s="119"/>
      <c r="EL14" s="120"/>
      <c r="EM14" s="118"/>
      <c r="EN14" s="119"/>
      <c r="EO14" s="120"/>
      <c r="EP14" s="118"/>
      <c r="EQ14" s="119"/>
      <c r="ER14" s="120"/>
      <c r="ES14" s="118"/>
      <c r="ET14" s="119"/>
      <c r="EU14" s="120"/>
      <c r="EV14" s="118"/>
      <c r="EW14" s="119"/>
      <c r="EX14" s="120"/>
      <c r="EY14" s="118"/>
      <c r="EZ14" s="119"/>
      <c r="FA14" s="120"/>
      <c r="FB14" s="118"/>
      <c r="FC14" s="119"/>
      <c r="FD14" s="120"/>
      <c r="FE14" s="118"/>
      <c r="FF14" s="119"/>
      <c r="FG14" s="120"/>
      <c r="FH14" s="118"/>
      <c r="FI14" s="119"/>
      <c r="FJ14" s="120"/>
      <c r="FK14" s="118"/>
      <c r="FL14" s="119"/>
      <c r="FM14" s="120"/>
      <c r="FN14" s="118"/>
      <c r="FO14" s="119"/>
      <c r="FP14" s="120"/>
      <c r="FQ14" s="118"/>
      <c r="FR14" s="119"/>
      <c r="FS14" s="120"/>
      <c r="FT14" s="118"/>
      <c r="FU14" s="119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6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7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6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7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6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7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6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27"/>
      <c r="C22" s="99">
        <v>3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119"/>
      <c r="CV22" s="120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119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174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GH2:JV2"/>
    <mergeCell ref="JW2:NK2"/>
    <mergeCell ref="NL2:QZ2"/>
    <mergeCell ref="RA2:UO2"/>
    <mergeCell ref="B15:B16"/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29" zoomScaleNormal="100" zoomScaleSheetLayoutView="100" workbookViewId="0">
      <selection activeCell="C35" sqref="C3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3"/>
  <sheetViews>
    <sheetView tabSelected="1" topLeftCell="A32" zoomScaleNormal="100" zoomScaleSheetLayoutView="100" workbookViewId="0">
      <selection activeCell="C40" sqref="C4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80"/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80"/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80"/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80"/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13.5" x14ac:dyDescent="0.2">
      <c r="A49" s="9"/>
      <c r="B49" s="8"/>
      <c r="C49" s="13"/>
      <c r="D49" s="13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79"/>
      <c r="B61" s="79"/>
      <c r="C61" s="80"/>
      <c r="D61" s="80"/>
    </row>
    <row r="62" spans="1:4" ht="13.5" x14ac:dyDescent="0.2">
      <c r="A62" s="79"/>
      <c r="B62" s="79"/>
      <c r="C62" s="80"/>
      <c r="D62" s="80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76" t="s">
        <v>22</v>
      </c>
      <c r="B64" s="76">
        <f>SUM(B49:B63)</f>
        <v>0</v>
      </c>
      <c r="C64" s="112" t="s">
        <v>37</v>
      </c>
      <c r="D64" s="77"/>
    </row>
    <row r="65" spans="1:4" ht="15" thickBot="1" x14ac:dyDescent="0.35">
      <c r="A65" s="78"/>
      <c r="B65" s="78"/>
      <c r="C65" s="78"/>
      <c r="D65" s="78"/>
    </row>
    <row r="66" spans="1:4" ht="18.75" thickBot="1" x14ac:dyDescent="0.25">
      <c r="A66" s="71" t="s">
        <v>14</v>
      </c>
      <c r="B66" s="72">
        <v>4</v>
      </c>
      <c r="C66" s="73" t="s">
        <v>23</v>
      </c>
      <c r="D66" s="82">
        <v>42877</v>
      </c>
    </row>
    <row r="67" spans="1:4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79"/>
      <c r="B80" s="79"/>
      <c r="C80" s="80"/>
      <c r="D80" s="80"/>
    </row>
    <row r="81" spans="1:4" ht="13.5" x14ac:dyDescent="0.2">
      <c r="A81" s="79"/>
      <c r="B81" s="79"/>
      <c r="C81" s="80"/>
      <c r="D81" s="80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76" t="s">
        <v>22</v>
      </c>
      <c r="B83" s="76">
        <f>SUM(B68:B82)</f>
        <v>0</v>
      </c>
      <c r="C83" s="112" t="s">
        <v>37</v>
      </c>
      <c r="D83" s="77"/>
    </row>
    <row r="84" spans="1:4" ht="15" thickBot="1" x14ac:dyDescent="0.35">
      <c r="A84" s="78"/>
      <c r="B84" s="78"/>
      <c r="C84" s="78"/>
      <c r="D84" s="78"/>
    </row>
    <row r="85" spans="1:4" ht="18.75" thickBot="1" x14ac:dyDescent="0.25">
      <c r="A85" s="71" t="s">
        <v>14</v>
      </c>
      <c r="B85" s="72">
        <v>5</v>
      </c>
      <c r="C85" s="73" t="s">
        <v>23</v>
      </c>
      <c r="D85" s="82">
        <v>42884</v>
      </c>
    </row>
    <row r="86" spans="1:4" ht="27.75" thickBot="1" x14ac:dyDescent="0.25">
      <c r="A86" s="74" t="s">
        <v>3</v>
      </c>
      <c r="B86" s="75" t="s">
        <v>15</v>
      </c>
      <c r="C86" s="74" t="s">
        <v>7</v>
      </c>
      <c r="D86" s="74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79"/>
      <c r="B99" s="79"/>
      <c r="C99" s="80"/>
      <c r="D99" s="80"/>
    </row>
    <row r="100" spans="1:4" ht="13.5" x14ac:dyDescent="0.2">
      <c r="A100" s="79"/>
      <c r="B100" s="79"/>
      <c r="C100" s="80"/>
      <c r="D100" s="80"/>
    </row>
    <row r="101" spans="1:4" ht="14.25" thickBot="1" x14ac:dyDescent="0.25">
      <c r="A101" s="7"/>
      <c r="B101" s="7"/>
      <c r="C101" s="15"/>
      <c r="D101" s="15"/>
    </row>
    <row r="102" spans="1:4" ht="14.25" thickBot="1" x14ac:dyDescent="0.25">
      <c r="A102" s="76" t="s">
        <v>22</v>
      </c>
      <c r="B102" s="76">
        <f>SUM(B87:B101)</f>
        <v>0</v>
      </c>
      <c r="C102" s="112" t="s">
        <v>37</v>
      </c>
      <c r="D102" s="77"/>
    </row>
    <row r="103" spans="1:4" ht="15" thickBot="1" x14ac:dyDescent="0.35">
      <c r="A103" s="78"/>
      <c r="B103" s="78"/>
      <c r="C103" s="78"/>
      <c r="D103" s="78"/>
    </row>
    <row r="104" spans="1:4" ht="18.75" thickBot="1" x14ac:dyDescent="0.25">
      <c r="A104" s="71" t="s">
        <v>14</v>
      </c>
      <c r="B104" s="72">
        <v>6</v>
      </c>
      <c r="C104" s="73" t="s">
        <v>23</v>
      </c>
      <c r="D104" s="82">
        <v>42891</v>
      </c>
    </row>
    <row r="105" spans="1:4" ht="27.75" thickBot="1" x14ac:dyDescent="0.25">
      <c r="A105" s="74" t="s">
        <v>3</v>
      </c>
      <c r="B105" s="75" t="s">
        <v>15</v>
      </c>
      <c r="C105" s="74" t="s">
        <v>7</v>
      </c>
      <c r="D105" s="74" t="s">
        <v>13</v>
      </c>
    </row>
    <row r="106" spans="1:4" ht="13.5" x14ac:dyDescent="0.2">
      <c r="A106" s="9"/>
      <c r="B106" s="8"/>
      <c r="C106" s="13"/>
      <c r="D106" s="13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79"/>
      <c r="B118" s="79"/>
      <c r="C118" s="80"/>
      <c r="D118" s="80"/>
    </row>
    <row r="119" spans="1:4" ht="13.5" x14ac:dyDescent="0.2">
      <c r="A119" s="79"/>
      <c r="B119" s="79"/>
      <c r="C119" s="80"/>
      <c r="D119" s="80"/>
    </row>
    <row r="120" spans="1:4" ht="14.25" thickBot="1" x14ac:dyDescent="0.25">
      <c r="A120" s="7"/>
      <c r="B120" s="7"/>
      <c r="C120" s="15"/>
      <c r="D120" s="15"/>
    </row>
    <row r="121" spans="1:4" ht="14.25" thickBot="1" x14ac:dyDescent="0.25">
      <c r="A121" s="76" t="s">
        <v>22</v>
      </c>
      <c r="B121" s="76">
        <f>SUM(B106:B120)</f>
        <v>0</v>
      </c>
      <c r="C121" s="112" t="s">
        <v>37</v>
      </c>
      <c r="D121" s="77"/>
    </row>
    <row r="122" spans="1:4" ht="14.25" x14ac:dyDescent="0.3">
      <c r="A122" s="78"/>
      <c r="B122" s="78"/>
      <c r="C122" s="78"/>
      <c r="D122" s="78"/>
    </row>
    <row r="123" spans="1:4" x14ac:dyDescent="0.2">
      <c r="A123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49:B63 B68:B82 B87:B101 B106:B12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64 B83 B102 B121">
      <formula1>0</formula1>
      <formula2>NbPerWeek * NbQuartPer</formula2>
    </dataValidation>
    <dataValidation type="list" allowBlank="1" showInputMessage="1" showErrorMessage="1" sqref="A3:A18 A23:A44 A49:A63 A68:A82 A87:A101 A106:A120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6"/>
  <headerFooter>
    <oddHeader>&amp;L&amp;"ETML L,Normal"&amp;24ETML</oddHeader>
    <oddFooter>&amp;C&amp;F&amp;L&amp;D</oddFooter>
  </headerFooter>
  <drawing r:id="rId17"/>
  <legacyDrawing r:id="rId18"/>
  <controls>
    <mc:AlternateContent xmlns:mc="http://schemas.openxmlformats.org/markup-compatibility/2006">
      <mc:Choice Requires="x14">
        <control shapeId="44033" r:id="rId19" name="btnImportRealisation">
          <controlPr defaultSize="0" autoLine="0" autoPict="0" r:id="rId2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19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2017-05-12T14:21:55Z</dcterms:modified>
  <cp:contentStatus>Version 8.0</cp:contentStatus>
</cp:coreProperties>
</file>