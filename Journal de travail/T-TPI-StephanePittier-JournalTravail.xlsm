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0" yWindow="0" windowWidth="25200" windowHeight="11850" activeTab="1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1">Diagramme!$A$1:$UP$17</definedName>
    <definedName name="_xlnm.Print_Area" localSheetId="0">Donnees!$A$1:$G$54</definedName>
    <definedName name="_xlnm.Print_Area" localSheetId="7">JNLTRAV!$A$1:$D$114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3" i="157" l="1"/>
  <c r="B94" i="157"/>
  <c r="B75" i="157"/>
  <c r="B56" i="157"/>
  <c r="B37" i="157"/>
  <c r="B18" i="157"/>
  <c r="B13" i="156" l="1"/>
  <c r="B11" i="156"/>
  <c r="B9" i="156"/>
  <c r="B7" i="156"/>
  <c r="B5" i="156"/>
  <c r="C16" i="156"/>
  <c r="C15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<sst xmlns="http://schemas.openxmlformats.org/spreadsheetml/2006/main" count="207" uniqueCount="63">
  <si>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</si>
  <si>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</si>
  <si>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</si>
  <si>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</si>
  <si>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</si>
  <si>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</si>
  <si>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</si>
  <si>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</si>
  <si>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</si>
  <si>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</si>
  <si>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</si>
  <si>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</si>
  <si>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</si>
  <si>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</si>
  <si>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</si>
  <si>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</si>
  <si>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</si>
  <si>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</si>
  <si>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</si>
  <si>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</si>
  <si>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</si>
  <si>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</si>
  <si>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</si>
  <si>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</si>
  <si>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Stéphane Pittier</t>
  </si>
  <si>
    <t>CIN4B</t>
  </si>
  <si>
    <t>ETML / Lausanne</t>
  </si>
  <si>
    <t>TPI</t>
  </si>
  <si>
    <t>Analyse</t>
  </si>
  <si>
    <t>Implémentation</t>
  </si>
  <si>
    <t>Tests</t>
  </si>
  <si>
    <t>Documentation</t>
  </si>
  <si>
    <t>Max. 93</t>
  </si>
  <si>
    <t>STOP</t>
  </si>
  <si>
    <t>Entretien avec le chef de projet et l'expert et début de la planification initiale</t>
  </si>
  <si>
    <t>Journal de travail</t>
  </si>
  <si>
    <t>Fin de la planification initiale</t>
  </si>
  <si>
    <t>Implémentation de l'analyse dans la documentation</t>
  </si>
  <si>
    <t>Analyse des besoins du programme</t>
  </si>
  <si>
    <t>Remplissage du journal de travail</t>
  </si>
  <si>
    <t>Début de la création du logiciel</t>
  </si>
  <si>
    <t>Intégrations des divers composant de l'analyse et du développement dans la doc</t>
  </si>
  <si>
    <t>Test du logiciel au fur et à mesure</t>
  </si>
  <si>
    <t>Intégrations des divers composant du développement dans la doc</t>
  </si>
  <si>
    <t>Développement du logiciel</t>
  </si>
  <si>
    <t>tests finaux</t>
  </si>
  <si>
    <t>Finalisation de la documentation</t>
  </si>
  <si>
    <t>Pentecôte 5.06.2017</t>
  </si>
  <si>
    <t>Pont de L'ascension 25 et 26 mai 2017</t>
  </si>
  <si>
    <t>Examen ECG du 31 mai 2017</t>
  </si>
  <si>
    <t>S 1</t>
  </si>
  <si>
    <t>S 2</t>
  </si>
  <si>
    <t>S 3</t>
  </si>
  <si>
    <t>S 4</t>
  </si>
  <si>
    <t>S 5</t>
  </si>
  <si>
    <t>S 6</t>
  </si>
  <si>
    <t>Lundi : Lecture du cahier des charges et rendez-vous avec l'expert</t>
  </si>
  <si>
    <t>Lundi : Début de la planification initial</t>
  </si>
  <si>
    <t>Mercredi : Réfléxion sur la façon de créer le programme. Immagination de l'interface et des diverses options du programme</t>
  </si>
  <si>
    <t>Mercredi : Rendez-vous avec monsieur Gruaz pour des explications supplémentaire et fin de la planification initiale</t>
  </si>
  <si>
    <t>Mercredi : Création de la mquette de l'application sous Visio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</si>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</sst>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6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6" sqref="C2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27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7" t="s">
        <v>19</v>
      </c>
      <c r="C19" s="11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35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16"/>
  <sheetViews>
    <sheetView tabSelected="1" view="pageBreakPreview" topLeftCell="AB1" zoomScale="70" zoomScaleNormal="100" zoomScaleSheetLayoutView="7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21" t="s">
        <v>50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2"/>
      <c r="CP2" s="122"/>
      <c r="CQ2" s="122"/>
      <c r="CR2" s="123"/>
      <c r="CS2" s="121" t="s">
        <v>51</v>
      </c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2"/>
      <c r="DH2" s="122"/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2"/>
      <c r="DT2" s="122"/>
      <c r="DU2" s="122"/>
      <c r="DV2" s="122"/>
      <c r="DW2" s="122"/>
      <c r="DX2" s="122"/>
      <c r="DY2" s="122"/>
      <c r="DZ2" s="122"/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2"/>
      <c r="ER2" s="122"/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2"/>
      <c r="FJ2" s="122"/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2"/>
      <c r="GB2" s="122"/>
      <c r="GC2" s="122"/>
      <c r="GD2" s="122"/>
      <c r="GE2" s="122"/>
      <c r="GF2" s="122"/>
      <c r="GG2" s="123"/>
      <c r="GH2" s="121" t="s">
        <v>52</v>
      </c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2"/>
      <c r="GT2" s="122"/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2"/>
      <c r="HL2" s="122"/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2"/>
      <c r="ID2" s="122"/>
      <c r="IE2" s="122"/>
      <c r="IF2" s="122"/>
      <c r="IG2" s="122"/>
      <c r="IH2" s="122"/>
      <c r="II2" s="122"/>
      <c r="IJ2" s="122"/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2"/>
      <c r="IV2" s="122"/>
      <c r="IW2" s="122"/>
      <c r="IX2" s="122"/>
      <c r="IY2" s="122"/>
      <c r="IZ2" s="122"/>
      <c r="JA2" s="122"/>
      <c r="JB2" s="122"/>
      <c r="JC2" s="122"/>
      <c r="JD2" s="122"/>
      <c r="JE2" s="122"/>
      <c r="JF2" s="122"/>
      <c r="JG2" s="122"/>
      <c r="JH2" s="122"/>
      <c r="JI2" s="122"/>
      <c r="JJ2" s="122"/>
      <c r="JK2" s="122"/>
      <c r="JL2" s="122"/>
      <c r="JM2" s="122"/>
      <c r="JN2" s="122"/>
      <c r="JO2" s="122"/>
      <c r="JP2" s="122"/>
      <c r="JQ2" s="122"/>
      <c r="JR2" s="122"/>
      <c r="JS2" s="122"/>
      <c r="JT2" s="122"/>
      <c r="JU2" s="122"/>
      <c r="JV2" s="123"/>
      <c r="JW2" s="121" t="s">
        <v>53</v>
      </c>
      <c r="JX2" s="122"/>
      <c r="JY2" s="122"/>
      <c r="JZ2" s="122"/>
      <c r="KA2" s="122"/>
      <c r="KB2" s="122"/>
      <c r="KC2" s="122"/>
      <c r="KD2" s="122"/>
      <c r="KE2" s="122"/>
      <c r="KF2" s="122"/>
      <c r="KG2" s="122"/>
      <c r="KH2" s="122"/>
      <c r="KI2" s="122"/>
      <c r="KJ2" s="122"/>
      <c r="KK2" s="122"/>
      <c r="KL2" s="122"/>
      <c r="KM2" s="122"/>
      <c r="KN2" s="122"/>
      <c r="KO2" s="122"/>
      <c r="KP2" s="122"/>
      <c r="KQ2" s="122"/>
      <c r="KR2" s="122"/>
      <c r="KS2" s="122"/>
      <c r="KT2" s="122"/>
      <c r="KU2" s="122"/>
      <c r="KV2" s="122"/>
      <c r="KW2" s="122"/>
      <c r="KX2" s="122"/>
      <c r="KY2" s="122"/>
      <c r="KZ2" s="122"/>
      <c r="LA2" s="122"/>
      <c r="LB2" s="122"/>
      <c r="LC2" s="122"/>
      <c r="LD2" s="122"/>
      <c r="LE2" s="122"/>
      <c r="LF2" s="122"/>
      <c r="LG2" s="122"/>
      <c r="LH2" s="122"/>
      <c r="LI2" s="122"/>
      <c r="LJ2" s="122"/>
      <c r="LK2" s="122"/>
      <c r="LL2" s="122"/>
      <c r="LM2" s="122"/>
      <c r="LN2" s="122"/>
      <c r="LO2" s="122"/>
      <c r="LP2" s="122"/>
      <c r="LQ2" s="122"/>
      <c r="LR2" s="122"/>
      <c r="LS2" s="122"/>
      <c r="LT2" s="122"/>
      <c r="LU2" s="122"/>
      <c r="LV2" s="122"/>
      <c r="LW2" s="122"/>
      <c r="LX2" s="122"/>
      <c r="LY2" s="122"/>
      <c r="LZ2" s="122"/>
      <c r="MA2" s="122"/>
      <c r="MB2" s="122"/>
      <c r="MC2" s="122"/>
      <c r="MD2" s="122"/>
      <c r="ME2" s="122"/>
      <c r="MF2" s="122"/>
      <c r="MG2" s="122"/>
      <c r="MH2" s="122"/>
      <c r="MI2" s="122"/>
      <c r="MJ2" s="122"/>
      <c r="MK2" s="122"/>
      <c r="ML2" s="122"/>
      <c r="MM2" s="122"/>
      <c r="MN2" s="122"/>
      <c r="MO2" s="122"/>
      <c r="MP2" s="122"/>
      <c r="MQ2" s="122"/>
      <c r="MR2" s="122"/>
      <c r="MS2" s="122"/>
      <c r="MT2" s="122"/>
      <c r="MU2" s="122"/>
      <c r="MV2" s="122"/>
      <c r="MW2" s="122"/>
      <c r="MX2" s="122"/>
      <c r="MY2" s="122"/>
      <c r="MZ2" s="122"/>
      <c r="NA2" s="122"/>
      <c r="NB2" s="122"/>
      <c r="NC2" s="122"/>
      <c r="ND2" s="122"/>
      <c r="NE2" s="122"/>
      <c r="NF2" s="122"/>
      <c r="NG2" s="122"/>
      <c r="NH2" s="122"/>
      <c r="NI2" s="122"/>
      <c r="NJ2" s="122"/>
      <c r="NK2" s="123"/>
      <c r="NL2" s="121" t="s">
        <v>54</v>
      </c>
      <c r="NM2" s="122"/>
      <c r="NN2" s="122"/>
      <c r="NO2" s="122"/>
      <c r="NP2" s="122"/>
      <c r="NQ2" s="122"/>
      <c r="NR2" s="122"/>
      <c r="NS2" s="122"/>
      <c r="NT2" s="122"/>
      <c r="NU2" s="122"/>
      <c r="NV2" s="122"/>
      <c r="NW2" s="122"/>
      <c r="NX2" s="122"/>
      <c r="NY2" s="122"/>
      <c r="NZ2" s="122"/>
      <c r="OA2" s="122"/>
      <c r="OB2" s="122"/>
      <c r="OC2" s="122"/>
      <c r="OD2" s="122"/>
      <c r="OE2" s="122"/>
      <c r="OF2" s="122"/>
      <c r="OG2" s="122"/>
      <c r="OH2" s="122"/>
      <c r="OI2" s="122"/>
      <c r="OJ2" s="122"/>
      <c r="OK2" s="122"/>
      <c r="OL2" s="122"/>
      <c r="OM2" s="122"/>
      <c r="ON2" s="122"/>
      <c r="OO2" s="122"/>
      <c r="OP2" s="122"/>
      <c r="OQ2" s="122"/>
      <c r="OR2" s="122"/>
      <c r="OS2" s="122"/>
      <c r="OT2" s="122"/>
      <c r="OU2" s="122"/>
      <c r="OV2" s="122"/>
      <c r="OW2" s="122"/>
      <c r="OX2" s="122"/>
      <c r="OY2" s="122"/>
      <c r="OZ2" s="122"/>
      <c r="PA2" s="122"/>
      <c r="PB2" s="122"/>
      <c r="PC2" s="122"/>
      <c r="PD2" s="122"/>
      <c r="PE2" s="122"/>
      <c r="PF2" s="122"/>
      <c r="PG2" s="122"/>
      <c r="PH2" s="122"/>
      <c r="PI2" s="122"/>
      <c r="PJ2" s="122"/>
      <c r="PK2" s="122"/>
      <c r="PL2" s="122"/>
      <c r="PM2" s="122"/>
      <c r="PN2" s="122"/>
      <c r="PO2" s="122"/>
      <c r="PP2" s="122"/>
      <c r="PQ2" s="122"/>
      <c r="PR2" s="122"/>
      <c r="PS2" s="122"/>
      <c r="PT2" s="122"/>
      <c r="PU2" s="122"/>
      <c r="PV2" s="122"/>
      <c r="PW2" s="122"/>
      <c r="PX2" s="122"/>
      <c r="PY2" s="122"/>
      <c r="PZ2" s="122"/>
      <c r="QA2" s="122"/>
      <c r="QB2" s="122"/>
      <c r="QC2" s="122"/>
      <c r="QD2" s="122"/>
      <c r="QE2" s="122"/>
      <c r="QF2" s="122"/>
      <c r="QG2" s="122"/>
      <c r="QH2" s="122"/>
      <c r="QI2" s="122"/>
      <c r="QJ2" s="122"/>
      <c r="QK2" s="122"/>
      <c r="QL2" s="122"/>
      <c r="QM2" s="122"/>
      <c r="QN2" s="122"/>
      <c r="QO2" s="122"/>
      <c r="QP2" s="122"/>
      <c r="QQ2" s="122"/>
      <c r="QR2" s="122"/>
      <c r="QS2" s="122"/>
      <c r="QT2" s="122"/>
      <c r="QU2" s="122"/>
      <c r="QV2" s="122"/>
      <c r="QW2" s="122"/>
      <c r="QX2" s="122"/>
      <c r="QY2" s="122"/>
      <c r="QZ2" s="123"/>
      <c r="RA2" s="121" t="s">
        <v>55</v>
      </c>
      <c r="RB2" s="122"/>
      <c r="RC2" s="122"/>
      <c r="RD2" s="122"/>
      <c r="RE2" s="122"/>
      <c r="RF2" s="122"/>
      <c r="RG2" s="122"/>
      <c r="RH2" s="122"/>
      <c r="RI2" s="122"/>
      <c r="RJ2" s="122"/>
      <c r="RK2" s="122"/>
      <c r="RL2" s="122"/>
      <c r="RM2" s="122"/>
      <c r="RN2" s="122"/>
      <c r="RO2" s="122"/>
      <c r="RP2" s="122"/>
      <c r="RQ2" s="122"/>
      <c r="RR2" s="122"/>
      <c r="RS2" s="122"/>
      <c r="RT2" s="122"/>
      <c r="RU2" s="122"/>
      <c r="RV2" s="122"/>
      <c r="RW2" s="122"/>
      <c r="RX2" s="122"/>
      <c r="RY2" s="122"/>
      <c r="RZ2" s="122"/>
      <c r="SA2" s="122"/>
      <c r="SB2" s="122"/>
      <c r="SC2" s="122"/>
      <c r="SD2" s="122"/>
      <c r="SE2" s="122"/>
      <c r="SF2" s="122"/>
      <c r="SG2" s="122"/>
      <c r="SH2" s="122"/>
      <c r="SI2" s="122"/>
      <c r="SJ2" s="122"/>
      <c r="SK2" s="122"/>
      <c r="SL2" s="122"/>
      <c r="SM2" s="122"/>
      <c r="SN2" s="122"/>
      <c r="SO2" s="122"/>
      <c r="SP2" s="122"/>
      <c r="SQ2" s="122"/>
      <c r="SR2" s="122"/>
      <c r="SS2" s="122"/>
      <c r="ST2" s="122"/>
      <c r="SU2" s="122"/>
      <c r="SV2" s="122"/>
      <c r="SW2" s="122"/>
      <c r="SX2" s="122"/>
      <c r="SY2" s="122"/>
      <c r="SZ2" s="122"/>
      <c r="TA2" s="122"/>
      <c r="TB2" s="122"/>
      <c r="TC2" s="122"/>
      <c r="TD2" s="122"/>
      <c r="TE2" s="122"/>
      <c r="TF2" s="122"/>
      <c r="TG2" s="122"/>
      <c r="TH2" s="122"/>
      <c r="TI2" s="122"/>
      <c r="TJ2" s="122"/>
      <c r="TK2" s="122"/>
      <c r="TL2" s="122"/>
      <c r="TM2" s="122"/>
      <c r="TN2" s="122"/>
      <c r="TO2" s="122"/>
      <c r="TP2" s="122"/>
      <c r="TQ2" s="122"/>
      <c r="TR2" s="122"/>
      <c r="TS2" s="122"/>
      <c r="TT2" s="122"/>
      <c r="TU2" s="122"/>
      <c r="TV2" s="122"/>
      <c r="TW2" s="122"/>
      <c r="TX2" s="122"/>
      <c r="TY2" s="122"/>
      <c r="TZ2" s="122"/>
      <c r="UA2" s="122"/>
      <c r="UB2" s="122"/>
      <c r="UC2" s="122"/>
      <c r="UD2" s="122"/>
      <c r="UE2" s="122"/>
      <c r="UF2" s="122"/>
      <c r="UG2" s="122"/>
      <c r="UH2" s="122"/>
      <c r="UI2" s="122"/>
      <c r="UJ2" s="122"/>
      <c r="UK2" s="122"/>
      <c r="UL2" s="122"/>
      <c r="UM2" s="122"/>
      <c r="UN2" s="122"/>
      <c r="UO2" s="123"/>
    </row>
    <row r="3" spans="1:561" ht="19.5" customHeight="1" x14ac:dyDescent="0.2">
      <c r="A3" s="87"/>
      <c r="B3" s="124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0"/>
      <c r="LK3" s="108"/>
      <c r="LL3" s="109"/>
      <c r="LM3" s="110"/>
      <c r="LN3" s="108"/>
      <c r="LO3" s="109"/>
      <c r="LP3" s="110"/>
      <c r="LQ3" s="108"/>
      <c r="LR3" s="109"/>
      <c r="LS3" s="110"/>
      <c r="LT3" s="108"/>
      <c r="LU3" s="109"/>
      <c r="LV3" s="110"/>
      <c r="LW3" s="108"/>
      <c r="LX3" s="109"/>
      <c r="LY3" s="110"/>
      <c r="LZ3" s="108"/>
      <c r="MA3" s="109"/>
      <c r="MB3" s="110"/>
      <c r="MC3" s="108"/>
      <c r="MD3" s="109"/>
      <c r="ME3" s="110"/>
      <c r="MF3" s="108"/>
      <c r="MG3" s="109"/>
      <c r="MH3" s="110"/>
      <c r="MI3" s="108"/>
      <c r="MJ3" s="109"/>
      <c r="MK3" s="110"/>
      <c r="ML3" s="108"/>
      <c r="MM3" s="109"/>
      <c r="MN3" s="110"/>
      <c r="MO3" s="108"/>
      <c r="MP3" s="109"/>
      <c r="MQ3" s="110"/>
      <c r="MR3" s="108"/>
      <c r="MS3" s="109"/>
      <c r="MT3" s="110"/>
      <c r="MU3" s="108"/>
      <c r="MV3" s="109"/>
      <c r="MW3" s="110"/>
      <c r="MX3" s="108"/>
      <c r="MY3" s="109"/>
      <c r="MZ3" s="110"/>
      <c r="NA3" s="108"/>
      <c r="NB3" s="109"/>
      <c r="NC3" s="110"/>
      <c r="ND3" s="108"/>
      <c r="NE3" s="109"/>
      <c r="NF3" s="110"/>
      <c r="NG3" s="108"/>
      <c r="NH3" s="109"/>
      <c r="NI3" s="110"/>
      <c r="NJ3" s="108"/>
      <c r="NK3" s="111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91"/>
      <c r="PL3" s="89"/>
      <c r="PM3" s="90"/>
      <c r="PN3" s="91"/>
      <c r="PO3" s="89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110"/>
      <c r="QP3" s="108"/>
      <c r="QQ3" s="109"/>
      <c r="QR3" s="110"/>
      <c r="QS3" s="108"/>
      <c r="QT3" s="109"/>
      <c r="QU3" s="110"/>
      <c r="QV3" s="108"/>
      <c r="QW3" s="109"/>
      <c r="QX3" s="110"/>
      <c r="QY3" s="108"/>
      <c r="QZ3" s="111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110"/>
      <c r="RN3" s="108"/>
      <c r="RO3" s="109"/>
      <c r="RP3" s="110"/>
      <c r="RQ3" s="108"/>
      <c r="RR3" s="109"/>
      <c r="RS3" s="110"/>
      <c r="RT3" s="108"/>
      <c r="RU3" s="109"/>
      <c r="RV3" s="110"/>
      <c r="RW3" s="108"/>
      <c r="RX3" s="109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25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26" t="str">
        <f>Donnees!$C$21</f>
        <v>Analyse</v>
      </c>
      <c r="C5" s="98">
        <v>81</v>
      </c>
      <c r="D5" s="107"/>
      <c r="E5" s="108"/>
      <c r="F5" s="109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09"/>
      <c r="AH5" s="110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0"/>
      <c r="C6" s="99">
        <v>35</v>
      </c>
      <c r="D6" s="113"/>
      <c r="E6" s="114"/>
      <c r="F6" s="115"/>
      <c r="G6" s="116"/>
      <c r="H6" s="114"/>
      <c r="I6" s="115"/>
      <c r="J6" s="116"/>
      <c r="K6" s="114"/>
      <c r="L6" s="115"/>
      <c r="M6" s="116"/>
      <c r="N6" s="114"/>
      <c r="O6" s="115"/>
      <c r="P6" s="116"/>
      <c r="Q6" s="114"/>
      <c r="R6" s="115"/>
      <c r="S6" s="116"/>
      <c r="T6" s="114"/>
      <c r="U6" s="115"/>
      <c r="V6" s="116"/>
      <c r="W6" s="114"/>
      <c r="X6" s="115"/>
      <c r="Y6" s="116"/>
      <c r="Z6" s="114"/>
      <c r="AA6" s="115"/>
      <c r="AB6" s="116"/>
      <c r="AC6" s="114"/>
      <c r="AD6" s="115"/>
      <c r="AE6" s="116"/>
      <c r="AF6" s="114"/>
      <c r="AG6" s="95"/>
      <c r="AH6" s="96"/>
      <c r="AI6" s="94"/>
      <c r="AJ6" s="95"/>
      <c r="AK6" s="116"/>
      <c r="AL6" s="114"/>
      <c r="AM6" s="115"/>
      <c r="AN6" s="116"/>
      <c r="AO6" s="114"/>
      <c r="AP6" s="11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5"/>
      <c r="BF6" s="96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19" t="str">
        <f>Donnees!$C$22</f>
        <v>Implémentation</v>
      </c>
      <c r="C7" s="98">
        <v>181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0"/>
      <c r="CP7" s="91"/>
      <c r="CQ7" s="89"/>
      <c r="CR7" s="92"/>
      <c r="CS7" s="107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108"/>
      <c r="DJ7" s="109"/>
      <c r="DK7" s="110"/>
      <c r="DL7" s="108"/>
      <c r="DM7" s="109"/>
      <c r="DN7" s="110"/>
      <c r="DO7" s="108"/>
      <c r="DP7" s="109"/>
      <c r="DQ7" s="110"/>
      <c r="DR7" s="108"/>
      <c r="DS7" s="109"/>
      <c r="DT7" s="110"/>
      <c r="DU7" s="108"/>
      <c r="DV7" s="109"/>
      <c r="DW7" s="110"/>
      <c r="DX7" s="108"/>
      <c r="DY7" s="109"/>
      <c r="DZ7" s="110"/>
      <c r="EA7" s="108"/>
      <c r="EB7" s="109"/>
      <c r="EC7" s="110"/>
      <c r="ED7" s="108"/>
      <c r="EE7" s="109"/>
      <c r="EF7" s="110"/>
      <c r="EG7" s="108"/>
      <c r="EH7" s="109"/>
      <c r="EI7" s="110"/>
      <c r="EJ7" s="108"/>
      <c r="EK7" s="109"/>
      <c r="EL7" s="110"/>
      <c r="EM7" s="108"/>
      <c r="EN7" s="109"/>
      <c r="EO7" s="110"/>
      <c r="EP7" s="108"/>
      <c r="EQ7" s="109"/>
      <c r="ER7" s="110"/>
      <c r="ES7" s="108"/>
      <c r="ET7" s="109"/>
      <c r="EU7" s="110"/>
      <c r="EV7" s="108"/>
      <c r="EW7" s="109"/>
      <c r="EX7" s="110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107"/>
      <c r="GI7" s="108"/>
      <c r="GJ7" s="109"/>
      <c r="GK7" s="110"/>
      <c r="GL7" s="108"/>
      <c r="GM7" s="109"/>
      <c r="GN7" s="110"/>
      <c r="GO7" s="108"/>
      <c r="GP7" s="109"/>
      <c r="GQ7" s="110"/>
      <c r="GR7" s="108"/>
      <c r="GS7" s="109"/>
      <c r="GT7" s="110"/>
      <c r="GU7" s="108"/>
      <c r="GV7" s="109"/>
      <c r="GW7" s="110"/>
      <c r="GX7" s="108"/>
      <c r="GY7" s="109"/>
      <c r="GZ7" s="110"/>
      <c r="HA7" s="108"/>
      <c r="HB7" s="109"/>
      <c r="HC7" s="110"/>
      <c r="HD7" s="108"/>
      <c r="HE7" s="109"/>
      <c r="HF7" s="110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109"/>
      <c r="HX7" s="110"/>
      <c r="HY7" s="108"/>
      <c r="HZ7" s="109"/>
      <c r="IA7" s="110"/>
      <c r="IB7" s="108"/>
      <c r="IC7" s="109"/>
      <c r="ID7" s="110"/>
      <c r="IE7" s="108"/>
      <c r="IF7" s="109"/>
      <c r="IG7" s="110"/>
      <c r="IH7" s="108"/>
      <c r="II7" s="109"/>
      <c r="IJ7" s="110"/>
      <c r="IK7" s="108"/>
      <c r="IL7" s="109"/>
      <c r="IM7" s="110"/>
      <c r="IN7" s="108"/>
      <c r="IO7" s="109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107"/>
      <c r="JX7" s="108"/>
      <c r="JY7" s="109"/>
      <c r="JZ7" s="110"/>
      <c r="KA7" s="108"/>
      <c r="KB7" s="109"/>
      <c r="KC7" s="110"/>
      <c r="KD7" s="108"/>
      <c r="KE7" s="109"/>
      <c r="KF7" s="110"/>
      <c r="KG7" s="108"/>
      <c r="KH7" s="109"/>
      <c r="KI7" s="110"/>
      <c r="KJ7" s="108"/>
      <c r="KK7" s="109"/>
      <c r="KL7" s="110"/>
      <c r="KM7" s="108"/>
      <c r="KN7" s="109"/>
      <c r="KO7" s="110"/>
      <c r="KP7" s="108"/>
      <c r="KQ7" s="109"/>
      <c r="KR7" s="110"/>
      <c r="KS7" s="108"/>
      <c r="KT7" s="109"/>
      <c r="KU7" s="110"/>
      <c r="KV7" s="108"/>
      <c r="KW7" s="109"/>
      <c r="KX7" s="110"/>
      <c r="KY7" s="108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107"/>
      <c r="NM7" s="108"/>
      <c r="NN7" s="109"/>
      <c r="NO7" s="110"/>
      <c r="NP7" s="108"/>
      <c r="NQ7" s="109"/>
      <c r="NR7" s="110"/>
      <c r="NS7" s="108"/>
      <c r="NT7" s="109"/>
      <c r="NU7" s="110"/>
      <c r="NV7" s="108"/>
      <c r="NW7" s="109"/>
      <c r="NX7" s="110"/>
      <c r="NY7" s="108"/>
      <c r="NZ7" s="109"/>
      <c r="OA7" s="110"/>
      <c r="OB7" s="108"/>
      <c r="OC7" s="109"/>
      <c r="OD7" s="110"/>
      <c r="OE7" s="108"/>
      <c r="OF7" s="109"/>
      <c r="OG7" s="110"/>
      <c r="OH7" s="108"/>
      <c r="OI7" s="109"/>
      <c r="OJ7" s="110"/>
      <c r="OK7" s="108"/>
      <c r="OL7" s="109"/>
      <c r="OM7" s="110"/>
      <c r="ON7" s="108"/>
      <c r="OO7" s="109"/>
      <c r="OP7" s="110"/>
      <c r="OQ7" s="108"/>
      <c r="OR7" s="109"/>
      <c r="OS7" s="110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0"/>
      <c r="C8" s="99">
        <v>0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19" t="str">
        <f>Donnees!$C$23</f>
        <v>Tests</v>
      </c>
      <c r="C9" s="98">
        <v>30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110"/>
      <c r="JO9" s="108"/>
      <c r="JP9" s="109"/>
      <c r="JQ9" s="110"/>
      <c r="JR9" s="108"/>
      <c r="JS9" s="109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110"/>
      <c r="LE9" s="108"/>
      <c r="LF9" s="109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110"/>
      <c r="PR9" s="108"/>
      <c r="PS9" s="109"/>
      <c r="PT9" s="110"/>
      <c r="PU9" s="108"/>
      <c r="PV9" s="109"/>
      <c r="PW9" s="110"/>
      <c r="PX9" s="108"/>
      <c r="PY9" s="109"/>
      <c r="PZ9" s="110"/>
      <c r="QA9" s="108"/>
      <c r="QB9" s="109"/>
      <c r="QC9" s="110"/>
      <c r="QD9" s="108"/>
      <c r="QE9" s="109"/>
      <c r="QF9" s="110"/>
      <c r="QG9" s="108"/>
      <c r="QH9" s="109"/>
      <c r="QI9" s="110"/>
      <c r="QJ9" s="108"/>
      <c r="QK9" s="109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0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19" t="str">
        <f>Donnees!$C$24</f>
        <v>Documentation</v>
      </c>
      <c r="C11" s="98">
        <v>101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110"/>
      <c r="CH11" s="108"/>
      <c r="CI11" s="109"/>
      <c r="CJ11" s="110"/>
      <c r="CK11" s="108"/>
      <c r="CL11" s="109"/>
      <c r="CM11" s="110"/>
      <c r="CN11" s="108"/>
      <c r="CO11" s="109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108"/>
      <c r="EZ11" s="109"/>
      <c r="FA11" s="110"/>
      <c r="FB11" s="108"/>
      <c r="FC11" s="109"/>
      <c r="FD11" s="110"/>
      <c r="FE11" s="108"/>
      <c r="FF11" s="109"/>
      <c r="FG11" s="110"/>
      <c r="FH11" s="108"/>
      <c r="FI11" s="109"/>
      <c r="FJ11" s="110"/>
      <c r="FK11" s="108"/>
      <c r="FL11" s="109"/>
      <c r="FM11" s="110"/>
      <c r="FN11" s="108"/>
      <c r="FO11" s="109"/>
      <c r="FP11" s="110"/>
      <c r="FQ11" s="108"/>
      <c r="FR11" s="109"/>
      <c r="FS11" s="110"/>
      <c r="FT11" s="108"/>
      <c r="FU11" s="109"/>
      <c r="FV11" s="110"/>
      <c r="FW11" s="108"/>
      <c r="FX11" s="109"/>
      <c r="FY11" s="110"/>
      <c r="FZ11" s="108"/>
      <c r="GA11" s="109"/>
      <c r="GB11" s="110"/>
      <c r="GC11" s="108"/>
      <c r="GD11" s="109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110"/>
      <c r="IQ11" s="108"/>
      <c r="IR11" s="109"/>
      <c r="IS11" s="110"/>
      <c r="IT11" s="108"/>
      <c r="IU11" s="109"/>
      <c r="IV11" s="110"/>
      <c r="IW11" s="108"/>
      <c r="IX11" s="109"/>
      <c r="IY11" s="110"/>
      <c r="IZ11" s="108"/>
      <c r="JA11" s="109"/>
      <c r="JB11" s="110"/>
      <c r="JC11" s="108"/>
      <c r="JD11" s="109"/>
      <c r="JE11" s="110"/>
      <c r="JF11" s="108"/>
      <c r="JG11" s="109"/>
      <c r="JH11" s="110"/>
      <c r="JI11" s="108"/>
      <c r="JJ11" s="109"/>
      <c r="JK11" s="110"/>
      <c r="JL11" s="108"/>
      <c r="JM11" s="109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109"/>
      <c r="LA11" s="110"/>
      <c r="LB11" s="108"/>
      <c r="LC11" s="109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90"/>
      <c r="OP11" s="91"/>
      <c r="OQ11" s="89"/>
      <c r="OR11" s="90"/>
      <c r="OS11" s="91"/>
      <c r="OT11" s="108"/>
      <c r="OU11" s="109"/>
      <c r="OV11" s="110"/>
      <c r="OW11" s="108"/>
      <c r="OX11" s="109"/>
      <c r="OY11" s="110"/>
      <c r="OZ11" s="108"/>
      <c r="PA11" s="109"/>
      <c r="PB11" s="110"/>
      <c r="PC11" s="108"/>
      <c r="PD11" s="109"/>
      <c r="PE11" s="110"/>
      <c r="PF11" s="108"/>
      <c r="PG11" s="109"/>
      <c r="PH11" s="110"/>
      <c r="PI11" s="108"/>
      <c r="PJ11" s="109"/>
      <c r="PK11" s="110"/>
      <c r="PL11" s="108"/>
      <c r="PM11" s="109"/>
      <c r="PN11" s="110"/>
      <c r="PO11" s="108"/>
      <c r="PP11" s="109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107"/>
      <c r="RB11" s="108"/>
      <c r="RC11" s="109"/>
      <c r="RD11" s="110"/>
      <c r="RE11" s="108"/>
      <c r="RF11" s="109"/>
      <c r="RG11" s="110"/>
      <c r="RH11" s="108"/>
      <c r="RI11" s="109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0"/>
      <c r="C12" s="99">
        <v>4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115"/>
      <c r="AH12" s="116"/>
      <c r="AI12" s="114"/>
      <c r="AJ12" s="11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19" t="str">
        <f>Donnees!$C$25</f>
        <v>Journal de travail</v>
      </c>
      <c r="C13" s="98">
        <v>18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110"/>
      <c r="CQ13" s="108"/>
      <c r="CR13" s="111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0"/>
      <c r="ER13" s="91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110"/>
      <c r="GF13" s="108"/>
      <c r="GG13" s="111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110"/>
      <c r="JU13" s="108"/>
      <c r="JV13" s="111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110"/>
      <c r="LH13" s="108"/>
      <c r="LI13" s="109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110"/>
      <c r="QM13" s="108"/>
      <c r="QN13" s="109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110"/>
      <c r="RK13" s="108"/>
      <c r="RL13" s="109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x14ac:dyDescent="0.2">
      <c r="B14" s="120"/>
      <c r="C14" s="99">
        <v>0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47" t="s">
        <v>16</v>
      </c>
      <c r="C15" s="49">
        <f>SUM($C$3,$C$5,$C$7,$C$9,$C$11,$C$13)</f>
        <v>489</v>
      </c>
      <c r="D15" s="100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  <c r="AN15" s="101"/>
      <c r="AO15" s="101"/>
      <c r="AP15" s="101"/>
      <c r="AQ15" s="101"/>
      <c r="AR15" s="101"/>
      <c r="AS15" s="101"/>
      <c r="AT15" s="101"/>
      <c r="AU15" s="101"/>
      <c r="AV15" s="101"/>
      <c r="AW15" s="101"/>
      <c r="AX15" s="101"/>
      <c r="AY15" s="101"/>
      <c r="AZ15" s="101"/>
      <c r="BA15" s="101"/>
      <c r="BB15" s="101"/>
      <c r="BC15" s="101"/>
      <c r="BD15" s="101"/>
      <c r="BE15" s="101"/>
      <c r="BF15" s="101"/>
      <c r="BG15" s="101"/>
      <c r="BH15" s="101"/>
      <c r="BI15" s="101"/>
      <c r="BJ15" s="101"/>
      <c r="BK15" s="101"/>
      <c r="BL15" s="101"/>
      <c r="BM15" s="101"/>
      <c r="BN15" s="101"/>
      <c r="BO15" s="101"/>
      <c r="BP15" s="101"/>
      <c r="BQ15" s="101"/>
      <c r="BR15" s="101"/>
      <c r="BS15" s="101"/>
      <c r="BT15" s="101"/>
      <c r="BU15" s="101"/>
      <c r="BV15" s="101"/>
      <c r="BW15" s="101"/>
      <c r="BX15" s="101"/>
      <c r="BY15" s="101"/>
      <c r="BZ15" s="101"/>
      <c r="CA15" s="101"/>
      <c r="CB15" s="101"/>
      <c r="CC15" s="101"/>
      <c r="CD15" s="101"/>
      <c r="CE15" s="101"/>
      <c r="CF15" s="101"/>
      <c r="CG15" s="101"/>
      <c r="CH15" s="101"/>
      <c r="CI15" s="101"/>
      <c r="CJ15" s="101"/>
      <c r="CK15" s="101"/>
      <c r="CL15" s="101"/>
      <c r="CM15" s="101"/>
      <c r="CN15" s="101"/>
      <c r="CO15" s="101"/>
      <c r="CP15" s="101"/>
      <c r="CQ15" s="101"/>
      <c r="CR15" s="102"/>
      <c r="CS15" s="100"/>
      <c r="CT15" s="101"/>
      <c r="CU15" s="101"/>
      <c r="CV15" s="101"/>
      <c r="CW15" s="101"/>
      <c r="CX15" s="101"/>
      <c r="CY15" s="101"/>
      <c r="CZ15" s="101"/>
      <c r="DA15" s="101"/>
      <c r="DB15" s="101"/>
      <c r="DC15" s="101"/>
      <c r="DD15" s="101"/>
      <c r="DE15" s="101"/>
      <c r="DF15" s="101"/>
      <c r="DG15" s="101"/>
      <c r="DH15" s="101"/>
      <c r="DI15" s="101"/>
      <c r="DJ15" s="101"/>
      <c r="DK15" s="101"/>
      <c r="DL15" s="101"/>
      <c r="DM15" s="101"/>
      <c r="DN15" s="101"/>
      <c r="DO15" s="101"/>
      <c r="DP15" s="101"/>
      <c r="DQ15" s="101"/>
      <c r="DR15" s="101"/>
      <c r="DS15" s="101"/>
      <c r="DT15" s="101"/>
      <c r="DU15" s="101"/>
      <c r="DV15" s="101"/>
      <c r="DW15" s="101"/>
      <c r="DX15" s="101"/>
      <c r="DY15" s="101"/>
      <c r="DZ15" s="101"/>
      <c r="EA15" s="101"/>
      <c r="EB15" s="101"/>
      <c r="EC15" s="101"/>
      <c r="ED15" s="101"/>
      <c r="EE15" s="101"/>
      <c r="EF15" s="101"/>
      <c r="EG15" s="101"/>
      <c r="EH15" s="101"/>
      <c r="EI15" s="101"/>
      <c r="EJ15" s="101"/>
      <c r="EK15" s="101"/>
      <c r="EL15" s="101"/>
      <c r="EM15" s="101"/>
      <c r="EN15" s="101"/>
      <c r="EO15" s="101"/>
      <c r="EP15" s="101"/>
      <c r="EQ15" s="101"/>
      <c r="ER15" s="101"/>
      <c r="ES15" s="101"/>
      <c r="ET15" s="101"/>
      <c r="EU15" s="101"/>
      <c r="EV15" s="101"/>
      <c r="EW15" s="101"/>
      <c r="EX15" s="101"/>
      <c r="EY15" s="101"/>
      <c r="EZ15" s="101"/>
      <c r="FA15" s="101"/>
      <c r="FB15" s="101"/>
      <c r="FC15" s="101"/>
      <c r="FD15" s="101"/>
      <c r="FE15" s="101"/>
      <c r="FF15" s="101"/>
      <c r="FG15" s="101"/>
      <c r="FH15" s="101"/>
      <c r="FI15" s="101"/>
      <c r="FJ15" s="101"/>
      <c r="FK15" s="101"/>
      <c r="FL15" s="101"/>
      <c r="FM15" s="101"/>
      <c r="FN15" s="101"/>
      <c r="FO15" s="101"/>
      <c r="FP15" s="101"/>
      <c r="FQ15" s="101"/>
      <c r="FR15" s="101"/>
      <c r="FS15" s="101"/>
      <c r="FT15" s="101"/>
      <c r="FU15" s="101"/>
      <c r="FV15" s="101"/>
      <c r="FW15" s="101"/>
      <c r="FX15" s="101"/>
      <c r="FY15" s="101"/>
      <c r="FZ15" s="101"/>
      <c r="GA15" s="101"/>
      <c r="GB15" s="101"/>
      <c r="GC15" s="101"/>
      <c r="GD15" s="101"/>
      <c r="GE15" s="101"/>
      <c r="GF15" s="101"/>
      <c r="GG15" s="102"/>
      <c r="GH15" s="100"/>
      <c r="GI15" s="101"/>
      <c r="GJ15" s="101"/>
      <c r="GK15" s="101"/>
      <c r="GL15" s="101"/>
      <c r="GM15" s="101"/>
      <c r="GN15" s="101"/>
      <c r="GO15" s="101"/>
      <c r="GP15" s="101"/>
      <c r="GQ15" s="101"/>
      <c r="GR15" s="101"/>
      <c r="GS15" s="101"/>
      <c r="GT15" s="101"/>
      <c r="GU15" s="101"/>
      <c r="GV15" s="101"/>
      <c r="GW15" s="101"/>
      <c r="GX15" s="101"/>
      <c r="GY15" s="101"/>
      <c r="GZ15" s="101"/>
      <c r="HA15" s="101"/>
      <c r="HB15" s="101"/>
      <c r="HC15" s="101"/>
      <c r="HD15" s="101"/>
      <c r="HE15" s="101"/>
      <c r="HF15" s="101"/>
      <c r="HG15" s="101"/>
      <c r="HH15" s="101"/>
      <c r="HI15" s="101"/>
      <c r="HJ15" s="101"/>
      <c r="HK15" s="101"/>
      <c r="HL15" s="101"/>
      <c r="HM15" s="101"/>
      <c r="HN15" s="101"/>
      <c r="HO15" s="101"/>
      <c r="HP15" s="101"/>
      <c r="HQ15" s="101"/>
      <c r="HR15" s="101"/>
      <c r="HS15" s="101"/>
      <c r="HT15" s="101"/>
      <c r="HU15" s="101"/>
      <c r="HV15" s="101"/>
      <c r="HW15" s="101"/>
      <c r="HX15" s="101"/>
      <c r="HY15" s="101"/>
      <c r="HZ15" s="101"/>
      <c r="IA15" s="101"/>
      <c r="IB15" s="101"/>
      <c r="IC15" s="101"/>
      <c r="ID15" s="101"/>
      <c r="IE15" s="101"/>
      <c r="IF15" s="101"/>
      <c r="IG15" s="101"/>
      <c r="IH15" s="101"/>
      <c r="II15" s="101"/>
      <c r="IJ15" s="101"/>
      <c r="IK15" s="101"/>
      <c r="IL15" s="101"/>
      <c r="IM15" s="101"/>
      <c r="IN15" s="101"/>
      <c r="IO15" s="101"/>
      <c r="IP15" s="101"/>
      <c r="IQ15" s="101"/>
      <c r="IR15" s="101"/>
      <c r="IS15" s="101"/>
      <c r="IT15" s="101"/>
      <c r="IU15" s="101"/>
      <c r="IV15" s="101"/>
      <c r="IW15" s="101"/>
      <c r="IX15" s="101"/>
      <c r="IY15" s="101"/>
      <c r="IZ15" s="101"/>
      <c r="JA15" s="101"/>
      <c r="JB15" s="101"/>
      <c r="JC15" s="101"/>
      <c r="JD15" s="101"/>
      <c r="JE15" s="101"/>
      <c r="JF15" s="101"/>
      <c r="JG15" s="101"/>
      <c r="JH15" s="101"/>
      <c r="JI15" s="101"/>
      <c r="JJ15" s="101"/>
      <c r="JK15" s="101"/>
      <c r="JL15" s="101"/>
      <c r="JM15" s="101"/>
      <c r="JN15" s="101"/>
      <c r="JO15" s="101"/>
      <c r="JP15" s="101"/>
      <c r="JQ15" s="101"/>
      <c r="JR15" s="101"/>
      <c r="JS15" s="101"/>
      <c r="JT15" s="101"/>
      <c r="JU15" s="101"/>
      <c r="JV15" s="102"/>
      <c r="JW15" s="100"/>
      <c r="JX15" s="101"/>
      <c r="JY15" s="101"/>
      <c r="JZ15" s="101"/>
      <c r="KA15" s="101"/>
      <c r="KB15" s="101"/>
      <c r="KC15" s="101"/>
      <c r="KD15" s="101"/>
      <c r="KE15" s="101"/>
      <c r="KF15" s="101"/>
      <c r="KG15" s="101"/>
      <c r="KH15" s="101"/>
      <c r="KI15" s="101"/>
      <c r="KJ15" s="101"/>
      <c r="KK15" s="101"/>
      <c r="KL15" s="101"/>
      <c r="KM15" s="101"/>
      <c r="KN15" s="101"/>
      <c r="KO15" s="101"/>
      <c r="KP15" s="101"/>
      <c r="KQ15" s="101"/>
      <c r="KR15" s="101"/>
      <c r="KS15" s="101"/>
      <c r="KT15" s="101"/>
      <c r="KU15" s="101"/>
      <c r="KV15" s="101"/>
      <c r="KW15" s="101"/>
      <c r="KX15" s="101"/>
      <c r="KY15" s="101"/>
      <c r="KZ15" s="101"/>
      <c r="LA15" s="101"/>
      <c r="LB15" s="101"/>
      <c r="LC15" s="101"/>
      <c r="LD15" s="101"/>
      <c r="LE15" s="101"/>
      <c r="LF15" s="101"/>
      <c r="LG15" s="101"/>
      <c r="LH15" s="101"/>
      <c r="LI15" s="101"/>
      <c r="LJ15" s="101"/>
      <c r="LK15" s="101"/>
      <c r="LL15" s="101"/>
      <c r="LM15" s="101"/>
      <c r="LN15" s="101"/>
      <c r="LO15" s="101"/>
      <c r="LP15" s="101"/>
      <c r="LQ15" s="101"/>
      <c r="LR15" s="101"/>
      <c r="LS15" s="101"/>
      <c r="LT15" s="101"/>
      <c r="LU15" s="101"/>
      <c r="LV15" s="101"/>
      <c r="LW15" s="101"/>
      <c r="LX15" s="101"/>
      <c r="LY15" s="101"/>
      <c r="LZ15" s="101"/>
      <c r="MA15" s="101"/>
      <c r="MB15" s="101"/>
      <c r="MC15" s="101"/>
      <c r="MD15" s="101"/>
      <c r="ME15" s="101"/>
      <c r="MF15" s="101"/>
      <c r="MG15" s="101"/>
      <c r="MH15" s="101"/>
      <c r="MI15" s="101"/>
      <c r="MJ15" s="101"/>
      <c r="MK15" s="101"/>
      <c r="ML15" s="101"/>
      <c r="MM15" s="101"/>
      <c r="MN15" s="101"/>
      <c r="MO15" s="101"/>
      <c r="MP15" s="101"/>
      <c r="MQ15" s="101"/>
      <c r="MR15" s="101"/>
      <c r="MS15" s="101"/>
      <c r="MT15" s="101"/>
      <c r="MU15" s="101"/>
      <c r="MV15" s="101"/>
      <c r="MW15" s="101"/>
      <c r="MX15" s="101"/>
      <c r="MY15" s="101"/>
      <c r="MZ15" s="101"/>
      <c r="NA15" s="101"/>
      <c r="NB15" s="101"/>
      <c r="NC15" s="101"/>
      <c r="ND15" s="101"/>
      <c r="NE15" s="101"/>
      <c r="NF15" s="101"/>
      <c r="NG15" s="101"/>
      <c r="NH15" s="101"/>
      <c r="NI15" s="101"/>
      <c r="NJ15" s="101"/>
      <c r="NK15" s="102"/>
      <c r="NL15" s="100"/>
      <c r="NM15" s="101"/>
      <c r="NN15" s="101"/>
      <c r="NO15" s="101"/>
      <c r="NP15" s="101"/>
      <c r="NQ15" s="101"/>
      <c r="NR15" s="101"/>
      <c r="NS15" s="101"/>
      <c r="NT15" s="101"/>
      <c r="NU15" s="101"/>
      <c r="NV15" s="101"/>
      <c r="NW15" s="101"/>
      <c r="NX15" s="101"/>
      <c r="NY15" s="101"/>
      <c r="NZ15" s="101"/>
      <c r="OA15" s="101"/>
      <c r="OB15" s="101"/>
      <c r="OC15" s="101"/>
      <c r="OD15" s="101"/>
      <c r="OE15" s="101"/>
      <c r="OF15" s="101"/>
      <c r="OG15" s="101"/>
      <c r="OH15" s="101"/>
      <c r="OI15" s="101"/>
      <c r="OJ15" s="101"/>
      <c r="OK15" s="101"/>
      <c r="OL15" s="101"/>
      <c r="OM15" s="101"/>
      <c r="ON15" s="101"/>
      <c r="OO15" s="101"/>
      <c r="OP15" s="101"/>
      <c r="OQ15" s="101"/>
      <c r="OR15" s="101"/>
      <c r="OS15" s="101"/>
      <c r="OT15" s="101"/>
      <c r="OU15" s="101"/>
      <c r="OV15" s="101"/>
      <c r="OW15" s="101"/>
      <c r="OX15" s="101"/>
      <c r="OY15" s="101"/>
      <c r="OZ15" s="101"/>
      <c r="PA15" s="101"/>
      <c r="PB15" s="101"/>
      <c r="PC15" s="101"/>
      <c r="PD15" s="101"/>
      <c r="PE15" s="101"/>
      <c r="PF15" s="101"/>
      <c r="PG15" s="101"/>
      <c r="PH15" s="101"/>
      <c r="PI15" s="101"/>
      <c r="PJ15" s="101"/>
      <c r="PK15" s="101"/>
      <c r="PL15" s="101"/>
      <c r="PM15" s="101"/>
      <c r="PN15" s="101"/>
      <c r="PO15" s="101"/>
      <c r="PP15" s="101"/>
      <c r="PQ15" s="101"/>
      <c r="PR15" s="101"/>
      <c r="PS15" s="101"/>
      <c r="PT15" s="101"/>
      <c r="PU15" s="101"/>
      <c r="PV15" s="101"/>
      <c r="PW15" s="101"/>
      <c r="PX15" s="101"/>
      <c r="PY15" s="101"/>
      <c r="PZ15" s="101"/>
      <c r="QA15" s="101"/>
      <c r="QB15" s="101"/>
      <c r="QC15" s="101"/>
      <c r="QD15" s="101"/>
      <c r="QE15" s="101"/>
      <c r="QF15" s="101"/>
      <c r="QG15" s="101"/>
      <c r="QH15" s="101"/>
      <c r="QI15" s="101"/>
      <c r="QJ15" s="101"/>
      <c r="QK15" s="101"/>
      <c r="QL15" s="101"/>
      <c r="QM15" s="101"/>
      <c r="QN15" s="101"/>
      <c r="QO15" s="101"/>
      <c r="QP15" s="101"/>
      <c r="QQ15" s="101"/>
      <c r="QR15" s="101"/>
      <c r="QS15" s="101"/>
      <c r="QT15" s="101"/>
      <c r="QU15" s="101"/>
      <c r="QV15" s="101"/>
      <c r="QW15" s="101"/>
      <c r="QX15" s="101"/>
      <c r="QY15" s="101"/>
      <c r="QZ15" s="102"/>
      <c r="RA15" s="100"/>
      <c r="RB15" s="101"/>
      <c r="RC15" s="101"/>
      <c r="RD15" s="101"/>
      <c r="RE15" s="101"/>
      <c r="RF15" s="101"/>
      <c r="RG15" s="101"/>
      <c r="RH15" s="101"/>
      <c r="RI15" s="101"/>
      <c r="RJ15" s="101"/>
      <c r="RK15" s="101"/>
      <c r="RL15" s="101"/>
      <c r="RM15" s="101"/>
      <c r="RN15" s="101"/>
      <c r="RO15" s="101"/>
      <c r="RP15" s="101"/>
      <c r="RQ15" s="101"/>
      <c r="RR15" s="101"/>
      <c r="RS15" s="101"/>
      <c r="RT15" s="101"/>
      <c r="RU15" s="101"/>
      <c r="RV15" s="101"/>
      <c r="RW15" s="101"/>
      <c r="RX15" s="101"/>
      <c r="RY15" s="101"/>
      <c r="RZ15" s="101"/>
      <c r="SA15" s="101"/>
      <c r="SB15" s="101"/>
      <c r="SC15" s="101"/>
      <c r="SD15" s="101"/>
      <c r="SE15" s="101"/>
      <c r="SF15" s="101"/>
      <c r="SG15" s="101"/>
      <c r="SH15" s="101"/>
      <c r="SI15" s="101"/>
      <c r="SJ15" s="101"/>
      <c r="SK15" s="101"/>
      <c r="SL15" s="101"/>
      <c r="SM15" s="101"/>
      <c r="SN15" s="101"/>
      <c r="SO15" s="101"/>
      <c r="SP15" s="101"/>
      <c r="SQ15" s="101"/>
      <c r="SR15" s="101"/>
      <c r="SS15" s="101"/>
      <c r="ST15" s="101"/>
      <c r="SU15" s="101"/>
      <c r="SV15" s="101"/>
      <c r="SW15" s="101"/>
      <c r="SX15" s="101"/>
      <c r="SY15" s="101"/>
      <c r="SZ15" s="101"/>
      <c r="TA15" s="101"/>
      <c r="TB15" s="101"/>
      <c r="TC15" s="101"/>
      <c r="TD15" s="101"/>
      <c r="TE15" s="101"/>
      <c r="TF15" s="101"/>
      <c r="TG15" s="101"/>
      <c r="TH15" s="101"/>
      <c r="TI15" s="101"/>
      <c r="TJ15" s="101"/>
      <c r="TK15" s="101"/>
      <c r="TL15" s="101"/>
      <c r="TM15" s="101"/>
      <c r="TN15" s="101"/>
      <c r="TO15" s="101"/>
      <c r="TP15" s="101"/>
      <c r="TQ15" s="101"/>
      <c r="TR15" s="101"/>
      <c r="TS15" s="101"/>
      <c r="TT15" s="101"/>
      <c r="TU15" s="101"/>
      <c r="TV15" s="101"/>
      <c r="TW15" s="101"/>
      <c r="TX15" s="101"/>
      <c r="TY15" s="101"/>
      <c r="TZ15" s="101"/>
      <c r="UA15" s="101"/>
      <c r="UB15" s="101"/>
      <c r="UC15" s="101"/>
      <c r="UD15" s="101"/>
      <c r="UE15" s="101"/>
      <c r="UF15" s="101"/>
      <c r="UG15" s="101"/>
      <c r="UH15" s="101"/>
      <c r="UI15" s="101"/>
      <c r="UJ15" s="101"/>
      <c r="UK15" s="101"/>
      <c r="UL15" s="101"/>
      <c r="UM15" s="101"/>
      <c r="UN15" s="101"/>
      <c r="UO15" s="102"/>
    </row>
    <row r="16" spans="1:561" ht="19.5" customHeight="1" thickBot="1" x14ac:dyDescent="0.25">
      <c r="A16" s="103"/>
      <c r="B16" s="48" t="s">
        <v>17</v>
      </c>
      <c r="C16" s="50">
        <f>SUM($C$4,$C$6,$C$8,$C$10,$C$12,$C$14)</f>
        <v>39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5"/>
      <c r="CE16" s="105"/>
      <c r="CF16" s="105"/>
      <c r="CG16" s="105"/>
      <c r="CH16" s="105"/>
      <c r="CI16" s="105"/>
      <c r="CJ16" s="105"/>
      <c r="CK16" s="105"/>
      <c r="CL16" s="105"/>
      <c r="CM16" s="105"/>
      <c r="CN16" s="105"/>
      <c r="CO16" s="105"/>
      <c r="CP16" s="105"/>
      <c r="CQ16" s="105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5"/>
      <c r="DJ16" s="105"/>
      <c r="DK16" s="105"/>
      <c r="DL16" s="105"/>
      <c r="DM16" s="105"/>
      <c r="DN16" s="105"/>
      <c r="DO16" s="105"/>
      <c r="DP16" s="105"/>
      <c r="DQ16" s="105"/>
      <c r="DR16" s="105"/>
      <c r="DS16" s="105"/>
      <c r="DT16" s="105"/>
      <c r="DU16" s="105"/>
      <c r="DV16" s="105"/>
      <c r="DW16" s="105"/>
      <c r="DX16" s="105"/>
      <c r="DY16" s="105"/>
      <c r="DZ16" s="105"/>
      <c r="EA16" s="105"/>
      <c r="EB16" s="105"/>
      <c r="EC16" s="105"/>
      <c r="ED16" s="105"/>
      <c r="EE16" s="105"/>
      <c r="EF16" s="105"/>
      <c r="EG16" s="105"/>
      <c r="EH16" s="105"/>
      <c r="EI16" s="105"/>
      <c r="EJ16" s="105"/>
      <c r="EK16" s="105"/>
      <c r="EL16" s="105"/>
      <c r="EM16" s="105"/>
      <c r="EN16" s="105"/>
      <c r="EO16" s="105"/>
      <c r="EP16" s="105"/>
      <c r="EQ16" s="105"/>
      <c r="ER16" s="105"/>
      <c r="ES16" s="105"/>
      <c r="ET16" s="105"/>
      <c r="EU16" s="105"/>
      <c r="EV16" s="105"/>
      <c r="EW16" s="105"/>
      <c r="EX16" s="105"/>
      <c r="EY16" s="105"/>
      <c r="EZ16" s="105"/>
      <c r="FA16" s="105"/>
      <c r="FB16" s="105"/>
      <c r="FC16" s="105"/>
      <c r="FD16" s="105"/>
      <c r="FE16" s="105"/>
      <c r="FF16" s="105"/>
      <c r="FG16" s="105"/>
      <c r="FH16" s="105"/>
      <c r="FI16" s="105"/>
      <c r="FJ16" s="105"/>
      <c r="FK16" s="105"/>
      <c r="FL16" s="105"/>
      <c r="FM16" s="105"/>
      <c r="FN16" s="105"/>
      <c r="FO16" s="105"/>
      <c r="FP16" s="105"/>
      <c r="FQ16" s="105"/>
      <c r="FR16" s="105"/>
      <c r="FS16" s="105"/>
      <c r="FT16" s="105"/>
      <c r="FU16" s="105"/>
      <c r="FV16" s="105"/>
      <c r="FW16" s="105"/>
      <c r="FX16" s="105"/>
      <c r="FY16" s="105"/>
      <c r="FZ16" s="105"/>
      <c r="GA16" s="105"/>
      <c r="GB16" s="105"/>
      <c r="GC16" s="105"/>
      <c r="GD16" s="105"/>
      <c r="GE16" s="105"/>
      <c r="GF16" s="105"/>
      <c r="GG16" s="106"/>
      <c r="GH16" s="104"/>
      <c r="GI16" s="105"/>
      <c r="GJ16" s="105"/>
      <c r="GK16" s="105"/>
      <c r="GL16" s="105"/>
      <c r="GM16" s="105"/>
      <c r="GN16" s="105"/>
      <c r="GO16" s="105"/>
      <c r="GP16" s="105"/>
      <c r="GQ16" s="105"/>
      <c r="GR16" s="105"/>
      <c r="GS16" s="105"/>
      <c r="GT16" s="105"/>
      <c r="GU16" s="105"/>
      <c r="GV16" s="105"/>
      <c r="GW16" s="105"/>
      <c r="GX16" s="105"/>
      <c r="GY16" s="105"/>
      <c r="GZ16" s="105"/>
      <c r="HA16" s="105"/>
      <c r="HB16" s="105"/>
      <c r="HC16" s="105"/>
      <c r="HD16" s="105"/>
      <c r="HE16" s="105"/>
      <c r="HF16" s="105"/>
      <c r="HG16" s="105"/>
      <c r="HH16" s="105"/>
      <c r="HI16" s="105"/>
      <c r="HJ16" s="105"/>
      <c r="HK16" s="105"/>
      <c r="HL16" s="105"/>
      <c r="HM16" s="105"/>
      <c r="HN16" s="105"/>
      <c r="HO16" s="105"/>
      <c r="HP16" s="105"/>
      <c r="HQ16" s="105"/>
      <c r="HR16" s="105"/>
      <c r="HS16" s="105"/>
      <c r="HT16" s="105"/>
      <c r="HU16" s="105"/>
      <c r="HV16" s="105"/>
      <c r="HW16" s="105"/>
      <c r="HX16" s="105"/>
      <c r="HY16" s="105"/>
      <c r="HZ16" s="105"/>
      <c r="IA16" s="105"/>
      <c r="IB16" s="105"/>
      <c r="IC16" s="105"/>
      <c r="ID16" s="105"/>
      <c r="IE16" s="105"/>
      <c r="IF16" s="105"/>
      <c r="IG16" s="105"/>
      <c r="IH16" s="105"/>
      <c r="II16" s="105"/>
      <c r="IJ16" s="105"/>
      <c r="IK16" s="105"/>
      <c r="IL16" s="105"/>
      <c r="IM16" s="105"/>
      <c r="IN16" s="105"/>
      <c r="IO16" s="105"/>
      <c r="IP16" s="105"/>
      <c r="IQ16" s="105"/>
      <c r="IR16" s="105"/>
      <c r="IS16" s="105"/>
      <c r="IT16" s="105"/>
      <c r="IU16" s="105"/>
      <c r="IV16" s="105"/>
      <c r="IW16" s="105"/>
      <c r="IX16" s="105"/>
      <c r="IY16" s="105"/>
      <c r="IZ16" s="105"/>
      <c r="JA16" s="105"/>
      <c r="JB16" s="105"/>
      <c r="JC16" s="105"/>
      <c r="JD16" s="105"/>
      <c r="JE16" s="105"/>
      <c r="JF16" s="105"/>
      <c r="JG16" s="105"/>
      <c r="JH16" s="105"/>
      <c r="JI16" s="105"/>
      <c r="JJ16" s="105"/>
      <c r="JK16" s="105"/>
      <c r="JL16" s="105"/>
      <c r="JM16" s="105"/>
      <c r="JN16" s="105"/>
      <c r="JO16" s="105"/>
      <c r="JP16" s="105"/>
      <c r="JQ16" s="105"/>
      <c r="JR16" s="105"/>
      <c r="JS16" s="105"/>
      <c r="JT16" s="105"/>
      <c r="JU16" s="105"/>
      <c r="JV16" s="106"/>
      <c r="JW16" s="104"/>
      <c r="JX16" s="105"/>
      <c r="JY16" s="105"/>
      <c r="JZ16" s="105"/>
      <c r="KA16" s="105"/>
      <c r="KB16" s="105"/>
      <c r="KC16" s="105"/>
      <c r="KD16" s="105"/>
      <c r="KE16" s="105"/>
      <c r="KF16" s="105"/>
      <c r="KG16" s="105"/>
      <c r="KH16" s="105"/>
      <c r="KI16" s="105"/>
      <c r="KJ16" s="105"/>
      <c r="KK16" s="105"/>
      <c r="KL16" s="105"/>
      <c r="KM16" s="105"/>
      <c r="KN16" s="105"/>
      <c r="KO16" s="105"/>
      <c r="KP16" s="105"/>
      <c r="KQ16" s="105"/>
      <c r="KR16" s="105"/>
      <c r="KS16" s="105"/>
      <c r="KT16" s="105"/>
      <c r="KU16" s="105"/>
      <c r="KV16" s="105"/>
      <c r="KW16" s="105"/>
      <c r="KX16" s="105"/>
      <c r="KY16" s="105"/>
      <c r="KZ16" s="105"/>
      <c r="LA16" s="105"/>
      <c r="LB16" s="105"/>
      <c r="LC16" s="105"/>
      <c r="LD16" s="105"/>
      <c r="LE16" s="105"/>
      <c r="LF16" s="105"/>
      <c r="LG16" s="105"/>
      <c r="LH16" s="105"/>
      <c r="LI16" s="105"/>
      <c r="LJ16" s="105"/>
      <c r="LK16" s="105"/>
      <c r="LL16" s="105"/>
      <c r="LM16" s="105"/>
      <c r="LN16" s="105"/>
      <c r="LO16" s="105"/>
      <c r="LP16" s="105"/>
      <c r="LQ16" s="105"/>
      <c r="LR16" s="105"/>
      <c r="LS16" s="105"/>
      <c r="LT16" s="105"/>
      <c r="LU16" s="105"/>
      <c r="LV16" s="105"/>
      <c r="LW16" s="105"/>
      <c r="LX16" s="105"/>
      <c r="LY16" s="105"/>
      <c r="LZ16" s="105"/>
      <c r="MA16" s="105"/>
      <c r="MB16" s="105"/>
      <c r="MC16" s="105"/>
      <c r="MD16" s="105"/>
      <c r="ME16" s="105"/>
      <c r="MF16" s="105"/>
      <c r="MG16" s="105"/>
      <c r="MH16" s="105"/>
      <c r="MI16" s="105"/>
      <c r="MJ16" s="105"/>
      <c r="MK16" s="105"/>
      <c r="ML16" s="105"/>
      <c r="MM16" s="105"/>
      <c r="MN16" s="105"/>
      <c r="MO16" s="105"/>
      <c r="MP16" s="105"/>
      <c r="MQ16" s="105"/>
      <c r="MR16" s="105"/>
      <c r="MS16" s="105"/>
      <c r="MT16" s="105"/>
      <c r="MU16" s="105"/>
      <c r="MV16" s="105"/>
      <c r="MW16" s="105"/>
      <c r="MX16" s="105"/>
      <c r="MY16" s="105"/>
      <c r="MZ16" s="105"/>
      <c r="NA16" s="105"/>
      <c r="NB16" s="105"/>
      <c r="NC16" s="105"/>
      <c r="ND16" s="105"/>
      <c r="NE16" s="105"/>
      <c r="NF16" s="105"/>
      <c r="NG16" s="105"/>
      <c r="NH16" s="105"/>
      <c r="NI16" s="105"/>
      <c r="NJ16" s="105"/>
      <c r="NK16" s="106"/>
      <c r="NL16" s="104"/>
      <c r="NM16" s="105"/>
      <c r="NN16" s="105"/>
      <c r="NO16" s="105"/>
      <c r="NP16" s="105"/>
      <c r="NQ16" s="105"/>
      <c r="NR16" s="105"/>
      <c r="NS16" s="105"/>
      <c r="NT16" s="105"/>
      <c r="NU16" s="105"/>
      <c r="NV16" s="105"/>
      <c r="NW16" s="105"/>
      <c r="NX16" s="105"/>
      <c r="NY16" s="105"/>
      <c r="NZ16" s="105"/>
      <c r="OA16" s="105"/>
      <c r="OB16" s="105"/>
      <c r="OC16" s="105"/>
      <c r="OD16" s="105"/>
      <c r="OE16" s="105"/>
      <c r="OF16" s="105"/>
      <c r="OG16" s="105"/>
      <c r="OH16" s="105"/>
      <c r="OI16" s="105"/>
      <c r="OJ16" s="105"/>
      <c r="OK16" s="105"/>
      <c r="OL16" s="105"/>
      <c r="OM16" s="105"/>
      <c r="ON16" s="105"/>
      <c r="OO16" s="105"/>
      <c r="OP16" s="105"/>
      <c r="OQ16" s="105"/>
      <c r="OR16" s="105"/>
      <c r="OS16" s="105"/>
      <c r="OT16" s="105"/>
      <c r="OU16" s="105"/>
      <c r="OV16" s="105"/>
      <c r="OW16" s="105"/>
      <c r="OX16" s="105"/>
      <c r="OY16" s="105"/>
      <c r="OZ16" s="105"/>
      <c r="PA16" s="105"/>
      <c r="PB16" s="105"/>
      <c r="PC16" s="105"/>
      <c r="PD16" s="105"/>
      <c r="PE16" s="105"/>
      <c r="PF16" s="105"/>
      <c r="PG16" s="105"/>
      <c r="PH16" s="105"/>
      <c r="PI16" s="105"/>
      <c r="PJ16" s="105"/>
      <c r="PK16" s="105"/>
      <c r="PL16" s="105"/>
      <c r="PM16" s="105"/>
      <c r="PN16" s="105"/>
      <c r="PO16" s="105"/>
      <c r="PP16" s="105"/>
      <c r="PQ16" s="105"/>
      <c r="PR16" s="105"/>
      <c r="PS16" s="105"/>
      <c r="PT16" s="105"/>
      <c r="PU16" s="105"/>
      <c r="PV16" s="105"/>
      <c r="PW16" s="105"/>
      <c r="PX16" s="105"/>
      <c r="PY16" s="105"/>
      <c r="PZ16" s="105"/>
      <c r="QA16" s="105"/>
      <c r="QB16" s="105"/>
      <c r="QC16" s="105"/>
      <c r="QD16" s="105"/>
      <c r="QE16" s="105"/>
      <c r="QF16" s="105"/>
      <c r="QG16" s="105"/>
      <c r="QH16" s="105"/>
      <c r="QI16" s="105"/>
      <c r="QJ16" s="105"/>
      <c r="QK16" s="105"/>
      <c r="QL16" s="105"/>
      <c r="QM16" s="105"/>
      <c r="QN16" s="105"/>
      <c r="QO16" s="105"/>
      <c r="QP16" s="105"/>
      <c r="QQ16" s="105"/>
      <c r="QR16" s="105"/>
      <c r="QS16" s="105"/>
      <c r="QT16" s="105"/>
      <c r="QU16" s="105"/>
      <c r="QV16" s="105"/>
      <c r="QW16" s="105"/>
      <c r="QX16" s="105"/>
      <c r="QY16" s="105"/>
      <c r="QZ16" s="106"/>
      <c r="RA16" s="104"/>
      <c r="RB16" s="105"/>
      <c r="RC16" s="105"/>
      <c r="RD16" s="105"/>
      <c r="RE16" s="105"/>
      <c r="RF16" s="105"/>
      <c r="RG16" s="105"/>
      <c r="RH16" s="105"/>
      <c r="RI16" s="105"/>
      <c r="RJ16" s="105"/>
      <c r="RK16" s="105"/>
      <c r="RL16" s="105"/>
      <c r="RM16" s="105"/>
      <c r="RN16" s="105"/>
      <c r="RO16" s="105"/>
      <c r="RP16" s="105"/>
      <c r="RQ16" s="105"/>
      <c r="RR16" s="105"/>
      <c r="RS16" s="105"/>
      <c r="RT16" s="105"/>
      <c r="RU16" s="105"/>
      <c r="RV16" s="105"/>
      <c r="RW16" s="105"/>
      <c r="RX16" s="105"/>
      <c r="RY16" s="105"/>
      <c r="RZ16" s="105"/>
      <c r="SA16" s="105"/>
      <c r="SB16" s="105"/>
      <c r="SC16" s="105"/>
      <c r="SD16" s="105"/>
      <c r="SE16" s="105"/>
      <c r="SF16" s="105"/>
      <c r="SG16" s="105"/>
      <c r="SH16" s="105"/>
      <c r="SI16" s="105"/>
      <c r="SJ16" s="105"/>
      <c r="SK16" s="105"/>
      <c r="SL16" s="105"/>
      <c r="SM16" s="105"/>
      <c r="SN16" s="105"/>
      <c r="SO16" s="105"/>
      <c r="SP16" s="105"/>
      <c r="SQ16" s="105"/>
      <c r="SR16" s="105"/>
      <c r="SS16" s="105"/>
      <c r="ST16" s="105"/>
      <c r="SU16" s="105"/>
      <c r="SV16" s="105"/>
      <c r="SW16" s="105"/>
      <c r="SX16" s="105"/>
      <c r="SY16" s="105"/>
      <c r="SZ16" s="105"/>
      <c r="TA16" s="105"/>
      <c r="TB16" s="105"/>
      <c r="TC16" s="105"/>
      <c r="TD16" s="105"/>
      <c r="TE16" s="105"/>
      <c r="TF16" s="105"/>
      <c r="TG16" s="105"/>
      <c r="TH16" s="105"/>
      <c r="TI16" s="105"/>
      <c r="TJ16" s="105"/>
      <c r="TK16" s="105"/>
      <c r="TL16" s="105"/>
      <c r="TM16" s="105"/>
      <c r="TN16" s="105"/>
      <c r="TO16" s="105"/>
      <c r="TP16" s="105"/>
      <c r="TQ16" s="105"/>
      <c r="TR16" s="105"/>
      <c r="TS16" s="105"/>
      <c r="TT16" s="105"/>
      <c r="TU16" s="105"/>
      <c r="TV16" s="105"/>
      <c r="TW16" s="105"/>
      <c r="TX16" s="105"/>
      <c r="TY16" s="105"/>
      <c r="TZ16" s="105"/>
      <c r="UA16" s="105"/>
      <c r="UB16" s="105"/>
      <c r="UC16" s="105"/>
      <c r="UD16" s="105"/>
      <c r="UE16" s="105"/>
      <c r="UF16" s="105"/>
      <c r="UG16" s="105"/>
      <c r="UH16" s="105"/>
      <c r="UI16" s="105"/>
      <c r="UJ16" s="105"/>
      <c r="UK16" s="105"/>
      <c r="UL16" s="105"/>
      <c r="UM16" s="105"/>
      <c r="UN16" s="105"/>
      <c r="UO16" s="106"/>
    </row>
  </sheetData>
  <sheetProtection sheet="1" objects="1" scenarios="1" insertRows="0" selectLockedCells="1"/>
  <mergeCells count="12">
    <mergeCell ref="B11:B12"/>
    <mergeCell ref="B13:B14"/>
    <mergeCell ref="RA2:UO2"/>
    <mergeCell ref="B3:B4"/>
    <mergeCell ref="B5:B6"/>
    <mergeCell ref="B7:B8"/>
    <mergeCell ref="B9:B10"/>
    <mergeCell ref="D2:CR2"/>
    <mergeCell ref="CS2:GG2"/>
    <mergeCell ref="GH2:JV2"/>
    <mergeCell ref="JW2:NK2"/>
    <mergeCell ref="NL2:QZ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4" t="s">
        <v>21</v>
      </c>
      <c r="C3" s="30">
        <v>0</v>
      </c>
    </row>
    <row r="4" spans="1:4" ht="19.5" customHeight="1" x14ac:dyDescent="0.2">
      <c r="A4" s="34"/>
      <c r="B4" s="12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2" zoomScale="115" zoomScaleNormal="100" zoomScaleSheetLayoutView="115" workbookViewId="0">
      <selection activeCell="A32" sqref="A32:A3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34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36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38</v>
      </c>
      <c r="D5" s="14"/>
    </row>
    <row r="6" spans="1:4" s="81" customFormat="1" ht="13.5" x14ac:dyDescent="0.2">
      <c r="A6" s="5" t="s">
        <v>31</v>
      </c>
      <c r="B6" s="6">
        <v>9</v>
      </c>
      <c r="C6" s="14" t="s">
        <v>37</v>
      </c>
      <c r="D6" s="14"/>
    </row>
    <row r="7" spans="1:4" s="81" customFormat="1" ht="13.5" x14ac:dyDescent="0.2">
      <c r="A7" s="5" t="s">
        <v>35</v>
      </c>
      <c r="B7" s="6">
        <v>3</v>
      </c>
      <c r="C7" s="14" t="s">
        <v>39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32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5" t="s">
        <v>29</v>
      </c>
      <c r="B17" s="6">
        <v>58</v>
      </c>
      <c r="C17" s="14" t="s">
        <v>40</v>
      </c>
      <c r="D17" s="13"/>
    </row>
    <row r="18" spans="1:9" ht="13.5" x14ac:dyDescent="0.2">
      <c r="A18" s="5" t="s">
        <v>31</v>
      </c>
      <c r="B18" s="6">
        <v>32</v>
      </c>
      <c r="C18" s="14" t="s">
        <v>41</v>
      </c>
      <c r="D18" s="14"/>
    </row>
    <row r="19" spans="1:9" ht="13.5" x14ac:dyDescent="0.2">
      <c r="A19" s="5" t="s">
        <v>35</v>
      </c>
      <c r="B19" s="6">
        <v>3</v>
      </c>
      <c r="C19" s="14" t="s">
        <v>39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32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5" t="s">
        <v>29</v>
      </c>
      <c r="B31" s="6">
        <v>60</v>
      </c>
      <c r="C31" s="14" t="s">
        <v>44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31</v>
      </c>
      <c r="B32" s="6">
        <v>24</v>
      </c>
      <c r="C32" s="14" t="s">
        <v>43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30</v>
      </c>
      <c r="B33" s="6">
        <v>6</v>
      </c>
      <c r="C33" s="14" t="s">
        <v>42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35</v>
      </c>
      <c r="B34" s="6">
        <v>3</v>
      </c>
      <c r="C34" s="14" t="s">
        <v>39</v>
      </c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32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5" t="s">
        <v>29</v>
      </c>
      <c r="B45" s="6">
        <v>29</v>
      </c>
      <c r="C45" s="14" t="s">
        <v>44</v>
      </c>
      <c r="D45" s="13"/>
    </row>
    <row r="46" spans="1:9" ht="13.5" x14ac:dyDescent="0.2">
      <c r="A46" s="5" t="s">
        <v>31</v>
      </c>
      <c r="B46" s="6">
        <v>4</v>
      </c>
      <c r="C46" s="14" t="s">
        <v>43</v>
      </c>
      <c r="D46" s="14"/>
    </row>
    <row r="47" spans="1:9" ht="13.5" x14ac:dyDescent="0.2">
      <c r="A47" s="5" t="s">
        <v>30</v>
      </c>
      <c r="B47" s="6">
        <v>3</v>
      </c>
      <c r="C47" s="14" t="s">
        <v>42</v>
      </c>
      <c r="D47" s="14"/>
    </row>
    <row r="48" spans="1:9" ht="13.5" x14ac:dyDescent="0.2">
      <c r="A48" s="5" t="s">
        <v>35</v>
      </c>
      <c r="B48" s="6">
        <v>3</v>
      </c>
      <c r="C48" s="14" t="s">
        <v>39</v>
      </c>
      <c r="D48" s="14"/>
    </row>
    <row r="49" spans="1:4" ht="13.5" x14ac:dyDescent="0.2">
      <c r="A49" s="5" t="s">
        <v>21</v>
      </c>
      <c r="B49" s="6">
        <v>54</v>
      </c>
      <c r="C49" s="14" t="s">
        <v>48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32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29</v>
      </c>
      <c r="B59" s="6">
        <v>34</v>
      </c>
      <c r="C59" s="14" t="s">
        <v>44</v>
      </c>
      <c r="D59" s="13"/>
    </row>
    <row r="60" spans="1:4" ht="13.5" x14ac:dyDescent="0.2">
      <c r="A60" s="5" t="s">
        <v>31</v>
      </c>
      <c r="B60" s="6">
        <v>23</v>
      </c>
      <c r="C60" s="14" t="s">
        <v>43</v>
      </c>
      <c r="D60" s="14"/>
    </row>
    <row r="61" spans="1:4" ht="13.5" x14ac:dyDescent="0.2">
      <c r="A61" s="5" t="s">
        <v>30</v>
      </c>
      <c r="B61" s="6">
        <v>21</v>
      </c>
      <c r="C61" s="14" t="s">
        <v>45</v>
      </c>
      <c r="D61" s="14"/>
    </row>
    <row r="62" spans="1:4" ht="13.5" x14ac:dyDescent="0.2">
      <c r="A62" s="5" t="s">
        <v>35</v>
      </c>
      <c r="B62" s="6">
        <v>3</v>
      </c>
      <c r="C62" s="14" t="s">
        <v>39</v>
      </c>
      <c r="D62" s="14"/>
    </row>
    <row r="63" spans="1:4" ht="13.5" x14ac:dyDescent="0.2">
      <c r="A63" s="5" t="s">
        <v>21</v>
      </c>
      <c r="B63" s="6">
        <v>12</v>
      </c>
      <c r="C63" s="14" t="s">
        <v>49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32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31</v>
      </c>
      <c r="B73" s="8">
        <v>9</v>
      </c>
      <c r="C73" s="13" t="s">
        <v>46</v>
      </c>
      <c r="D73" s="13"/>
    </row>
    <row r="74" spans="1:4" ht="13.5" x14ac:dyDescent="0.2">
      <c r="A74" s="5" t="s">
        <v>35</v>
      </c>
      <c r="B74" s="6">
        <v>3</v>
      </c>
      <c r="C74" s="14" t="s">
        <v>39</v>
      </c>
      <c r="D74" s="14"/>
    </row>
    <row r="75" spans="1:4" ht="13.5" x14ac:dyDescent="0.2">
      <c r="A75" s="5" t="s">
        <v>21</v>
      </c>
      <c r="B75" s="6">
        <v>12</v>
      </c>
      <c r="C75" s="14" t="s">
        <v>47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32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5"/>
  <sheetViews>
    <sheetView view="pageBreakPreview" zoomScaleNormal="100" zoomScaleSheetLayoutView="100" workbookViewId="0">
      <selection activeCell="C13" sqref="C1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28</v>
      </c>
      <c r="B3" s="8">
        <v>6</v>
      </c>
      <c r="C3" s="13" t="s">
        <v>56</v>
      </c>
      <c r="D3" s="13"/>
    </row>
    <row r="4" spans="1:4" s="81" customFormat="1" ht="13.5" x14ac:dyDescent="0.2">
      <c r="A4" s="5" t="s">
        <v>28</v>
      </c>
      <c r="B4" s="6">
        <v>6</v>
      </c>
      <c r="C4" s="14" t="s">
        <v>57</v>
      </c>
      <c r="D4" s="14"/>
    </row>
    <row r="5" spans="1:4" s="81" customFormat="1" ht="27" x14ac:dyDescent="0.2">
      <c r="A5" s="5" t="s">
        <v>28</v>
      </c>
      <c r="B5" s="6">
        <v>6</v>
      </c>
      <c r="C5" s="14" t="s">
        <v>59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58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60</v>
      </c>
      <c r="D7" s="14"/>
    </row>
    <row r="8" spans="1:4" s="81" customFormat="1" ht="13.5" x14ac:dyDescent="0.2">
      <c r="A8" s="5" t="s">
        <v>31</v>
      </c>
      <c r="B8" s="6">
        <v>4</v>
      </c>
      <c r="C8" s="14" t="s">
        <v>61</v>
      </c>
      <c r="D8" s="14"/>
    </row>
    <row r="9" spans="1:4" s="81" customFormat="1" ht="27" x14ac:dyDescent="0.2">
      <c r="A9" s="5" t="s">
        <v>28</v>
      </c>
      <c r="B9" s="6">
        <v>6</v>
      </c>
      <c r="C9" s="14" t="s">
        <v>62</v>
      </c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39</v>
      </c>
      <c r="C18" s="112" t="s">
        <v>32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42863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112" t="s">
        <v>32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42870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12" t="s">
        <v>32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42877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12" t="s">
        <v>32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42884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12" t="s">
        <v>32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42891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12" t="s">
        <v>32</v>
      </c>
      <c r="D113" s="77"/>
    </row>
    <row r="114" spans="1:4" ht="14.25" x14ac:dyDescent="0.3">
      <c r="A114" s="78"/>
      <c r="B114" s="78"/>
      <c r="C114" s="78"/>
      <c r="D114" s="78"/>
    </row>
    <row r="115" spans="1:4" x14ac:dyDescent="0.2">
      <c r="A115" s="84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>
      <formula1>0</formula1>
      <formula2>NbPerWeek * NbQuartPer</formula2>
    </dataValidation>
    <dataValidation type="list" allowBlank="1" showInputMessage="1" showErrorMessage="1" sqref="A3:A17 A22:A36 A41:A55 A60:A74 A79:A93 A98:A112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2017-05-03T14:04:47Z</dcterms:modified>
  <cp:contentStatus>Version 8.0</cp:contentStatus>
</cp:coreProperties>
</file>